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<sst xmlns="http://schemas.openxmlformats.org/spreadsheetml/2006/main" count="366" uniqueCount="102">
  <si>
    <t>Traspaso Operativo y Migración RACI TO-BE — Etapa Inicial (Banco Macro)</t>
  </si>
  <si>
    <t>WBS</t>
  </si>
  <si>
    <t>Tarea</t>
  </si>
  <si>
    <t>Resp.</t>
  </si>
  <si>
    <t>Predec.</t>
  </si>
  <si>
    <t>Días</t>
  </si>
  <si>
    <t>Inicio</t>
  </si>
  <si>
    <t>Fin</t>
  </si>
  <si>
    <t>Crít.</t>
  </si>
  <si>
    <t>_tipo</t>
  </si>
  <si>
    <t>1</t>
  </si>
  <si>
    <t>Etapa 1 — Conformación del Equipo</t>
  </si>
  <si>
    <t>No</t>
  </si>
  <si>
    <t>fase</t>
  </si>
  <si>
    <t>1.1</t>
  </si>
  <si>
    <t xml:space="preserve">  Definir denominación y estructura del nuevo sector</t>
  </si>
  <si>
    <t>tarea</t>
  </si>
  <si>
    <t>Etapa de Validación</t>
  </si>
  <si>
    <t>1.2</t>
  </si>
  <si>
    <t xml:space="preserve">  Búsqueda, selección y entrevistas técnicas de candidatos</t>
  </si>
  <si>
    <t>Sí</t>
  </si>
  <si>
    <t>1.3</t>
  </si>
  <si>
    <t xml:space="preserve">  Incorporación de Líder + 4 Especialistas Técnicos (TI) + Especialista OCI</t>
  </si>
  <si>
    <t>Validacion del plan propuesto con tecnologia</t>
  </si>
  <si>
    <t>Validacion con el area de Gobierno TI</t>
  </si>
  <si>
    <t>1.4</t>
  </si>
  <si>
    <t xml:space="preserve">  Incorporación de Especialista DevSecOps OCI (Ciberseguridad)</t>
  </si>
  <si>
    <t>1.5</t>
  </si>
  <si>
    <t xml:space="preserve">  Hito: Equipo conformado y perfiles asignados</t>
  </si>
  <si>
    <t>1.3, 1.4</t>
  </si>
  <si>
    <t>hito</t>
  </si>
  <si>
    <t>2</t>
  </si>
  <si>
    <t>Etapa 2 — Prerrequisitos Organizacionales y Técnicos</t>
  </si>
  <si>
    <t>◆</t>
  </si>
  <si>
    <t>2.1</t>
  </si>
  <si>
    <t xml:space="preserve">  Validación y firma formal de la Matriz RACI TO-BE</t>
  </si>
  <si>
    <t xml:space="preserve"> </t>
  </si>
  <si>
    <t>2.2</t>
  </si>
  <si>
    <t xml:space="preserve">  Provisión de accesos administrativos a consolas de administracion y dispositivos</t>
  </si>
  <si>
    <t>2.3</t>
  </si>
  <si>
    <t xml:space="preserve">  Habilitación de perfiles en el sistema de ticketing</t>
  </si>
  <si>
    <t>2.4</t>
  </si>
  <si>
    <t xml:space="preserve">  Asignación de accesos a plataforma cloud para nuevo personal</t>
  </si>
  <si>
    <t>2.5</t>
  </si>
  <si>
    <t xml:space="preserve">  Planificación y acuerdo de guardias, disponibilidad y SLAs</t>
  </si>
  <si>
    <t>2.6</t>
  </si>
  <si>
    <t xml:space="preserve">  Formalización de criterios de escalamiento técnico y operativo</t>
  </si>
  <si>
    <t>2.7</t>
  </si>
  <si>
    <t xml:space="preserve">  Hito: Prerrequisitos cumplidos (RACI firmada, accesos 100%, SLAs aprobados)</t>
  </si>
  <si>
    <t>2.2, 2.3, 2.4, 2.6</t>
  </si>
  <si>
    <t>3</t>
  </si>
  <si>
    <t>Etapa 3 — Documentación Técnica y Talleres de Handover</t>
  </si>
  <si>
    <t>3.1</t>
  </si>
  <si>
    <t xml:space="preserve">  Entrega formal de documentación técnica por plataforma</t>
  </si>
  <si>
    <t>3.4</t>
  </si>
  <si>
    <t xml:space="preserve">  Relevamiento y validación de documentación técnica. </t>
  </si>
  <si>
    <t>3.2</t>
  </si>
  <si>
    <t>3.5</t>
  </si>
  <si>
    <t xml:space="preserve">  Ejecución de sesiones de handover técnico Ciberseguridad → Tecnología</t>
  </si>
  <si>
    <t>1.5, 2.7, 3.4</t>
  </si>
  <si>
    <t>3.6</t>
  </si>
  <si>
    <t xml:space="preserve">  Hito: Handover completado (documentación aceptada, inventario entregado, sesiones finalizadas)</t>
  </si>
  <si>
    <t>4</t>
  </si>
  <si>
    <t>Etapa 4 — Operación Supervisada y Mitigación de Desvíos</t>
  </si>
  <si>
    <t>4.1</t>
  </si>
  <si>
    <t xml:space="preserve">  Ejecución de tareas operativas rutinarias por TI (runbooks validados)</t>
  </si>
  <si>
    <t>4.2</t>
  </si>
  <si>
    <t xml:space="preserve">  Supervisión en tiempo real por Ciberseguridad</t>
  </si>
  <si>
    <t>4.3</t>
  </si>
  <si>
    <t xml:space="preserve">  Gestión conjunta de primeras ventanas de cambio e incidentes críticos</t>
  </si>
  <si>
    <t>4.4</t>
  </si>
  <si>
    <t xml:space="preserve">  Registro de incidencias, desvíos y ajustes al modelo TO-BE</t>
  </si>
  <si>
    <t>4.5</t>
  </si>
  <si>
    <t xml:space="preserve">  Sesiones eventuales de transferencia de reconocimiento</t>
  </si>
  <si>
    <t xml:space="preserve"> Establecer sesiones de acompañamiento y consulta </t>
  </si>
  <si>
    <t xml:space="preserve">  Hito: Operación asistida validada (ejecución sin errores críticos, brechas corregidas)</t>
  </si>
  <si>
    <t>4.1, 4.3, 4.4, 4.5</t>
  </si>
  <si>
    <t>5</t>
  </si>
  <si>
    <t>Etapa 5 — Operación Independiente, Estabilización y Cierre</t>
  </si>
  <si>
    <t>5.1</t>
  </si>
  <si>
    <t xml:space="preserve">  Toma del control operativo total y autónomo por TI</t>
  </si>
  <si>
    <t>5.2</t>
  </si>
  <si>
    <t xml:space="preserve">  Aplicación estricta de la segregación de funciones (Ciber = gobierno/control)</t>
  </si>
  <si>
    <t>5.3</t>
  </si>
  <si>
    <t xml:space="preserve">  Monitoreo continuo durante el período de estabilización</t>
  </si>
  <si>
    <t>5.4</t>
  </si>
  <si>
    <t xml:space="preserve">  Simulación de flujos de escalamiento ante incidentes complejos</t>
  </si>
  <si>
    <t>5.5</t>
  </si>
  <si>
    <t xml:space="preserve">  Auditoría final y relevamiento de cumplimiento de la RACI TO-BE </t>
  </si>
  <si>
    <t>5.6</t>
  </si>
  <si>
    <t xml:space="preserve">  Firma formal del Acta de Cierre del Traspaso Operativo</t>
  </si>
  <si>
    <t xml:space="preserve">  Baja de usuarios de administrador de SI</t>
  </si>
  <si>
    <t>Si</t>
  </si>
  <si>
    <t xml:space="preserve">  Creacion de ciruito de emergencia y uso de usuario administrador para SI</t>
  </si>
  <si>
    <t xml:space="preserve">  Validación con el area de Gobierno TI</t>
  </si>
  <si>
    <t xml:space="preserve">  Hito: Etapa inicial cerrada (operación 100% TI, RACI verificada, acta firmada)</t>
  </si>
  <si>
    <t>Editá las celdas en azul (inicio del proyecto en 'Config', y la columna Días). Las fechas y las barras se recalculan solas.</t>
  </si>
  <si>
    <t>Ruta crítica</t>
  </si>
  <si>
    <t>Fase</t>
  </si>
  <si>
    <t>Hito ◆</t>
  </si>
  <si>
    <t>4.6</t>
  </si>
  <si>
    <t>5.7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</si>
</sst>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-&quot;mm"/>
    <numFmt numFmtId="165" formatCode="dd/mm"/>
    <numFmt numFmtId="166" formatCode="dd/mm/yy"/>
    <numFmt numFmtId="167" formatCode="&quot;$&quot;#,##0.00"/>
    <numFmt numFmtId="168" formatCode="d.m"/>
  </numFmts>
  <fonts count="18">
    <font>
      <sz val="10.0"/>
      <color rgb="FF000000"/>
      <name val="Arial"/>
      <scheme val="minor"/>
    </font>
    <font>
      <b/>
      <sz val="14.0"/>
      <color rgb="FFFFFFFF"/>
      <name val="Arial"/>
    </font>
    <font/>
    <font>
      <sz val="6.0"/>
      <color rgb="FFFFFFFF"/>
      <name val="Calibri"/>
    </font>
    <font>
      <b/>
      <sz val="9.0"/>
      <color rgb="FFFFFFFF"/>
      <name val="Arial"/>
    </font>
    <font>
      <b/>
      <sz val="9.0"/>
      <color theme="0"/>
      <name val="Calibri"/>
    </font>
    <font>
      <b/>
      <sz val="7.0"/>
      <color rgb="FFFFFFFF"/>
      <name val="Arial"/>
    </font>
    <font>
      <sz val="11.0"/>
      <color theme="1"/>
      <name val="Calibri"/>
    </font>
    <font>
      <sz val="11.0"/>
      <color rgb="FF6AA84F"/>
      <name val="Calibri"/>
    </font>
    <font>
      <b/>
      <sz val="9.0"/>
      <color rgb="FF0000FF"/>
      <name val="Arial"/>
    </font>
    <font>
      <color theme="1"/>
      <name val="Arial"/>
      <scheme val="minor"/>
    </font>
    <font>
      <b/>
      <sz val="11.0"/>
      <color rgb="FF7030A0"/>
      <name val="Arial"/>
    </font>
    <font>
      <b/>
      <sz val="11.0"/>
      <color rgb="FF000000"/>
      <name val="Calibri"/>
    </font>
    <font>
      <sz val="11.0"/>
      <color rgb="FFFF0000"/>
      <name val="Calibri"/>
    </font>
    <font>
      <sz val="11.0"/>
      <color rgb="FF38761D"/>
      <name val="Calibri"/>
    </font>
    <font>
      <sz val="11.0"/>
      <color rgb="FF000000"/>
      <name val="Calibri"/>
    </font>
    <font>
      <sz val="8.0"/>
      <color rgb="FF808080"/>
      <name val="Arial"/>
    </font>
    <font>
      <sz val="8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C4587"/>
        <bgColor rgb="FF1C4587"/>
      </patternFill>
    </fill>
    <fill>
      <patternFill patternType="solid">
        <fgColor rgb="FF2E5496"/>
        <bgColor rgb="FF2E5496"/>
      </patternFill>
    </fill>
    <fill>
      <patternFill patternType="solid">
        <fgColor rgb="FFFFF2CC"/>
        <bgColor rgb="FFFFF2CC"/>
      </patternFill>
    </fill>
    <fill>
      <patternFill patternType="solid">
        <fgColor rgb="FFC00000"/>
        <bgColor rgb="FFC00000"/>
      </patternFill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7030A0"/>
        <bgColor rgb="FF7030A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right" readingOrder="0" textRotation="90" vertical="bottom"/>
    </xf>
    <xf borderId="4" fillId="2" fontId="4" numFmtId="0" xfId="0" applyAlignment="1" applyBorder="1" applyFont="1">
      <alignment horizontal="center" shrinkToFit="0" wrapText="1"/>
    </xf>
    <xf borderId="4" fillId="3" fontId="5" numFmtId="164" xfId="0" applyAlignment="1" applyBorder="1" applyFont="1" applyNumberFormat="1">
      <alignment horizontal="right" readingOrder="0" textRotation="90" vertical="bottom"/>
    </xf>
    <xf borderId="4" fillId="2" fontId="6" numFmtId="165" xfId="0" applyAlignment="1" applyBorder="1" applyFont="1" applyNumberFormat="1">
      <alignment horizontal="center" readingOrder="0" textRotation="90"/>
    </xf>
    <xf borderId="4" fillId="4" fontId="4" numFmtId="0" xfId="0" applyAlignment="1" applyBorder="1" applyFill="1" applyFont="1">
      <alignment horizontal="center" vertical="bottom"/>
    </xf>
    <xf borderId="4" fillId="4" fontId="4" numFmtId="0" xfId="0" applyAlignment="1" applyBorder="1" applyFont="1">
      <alignment vertical="bottom"/>
    </xf>
    <xf borderId="4" fillId="4" fontId="7" numFmtId="0" xfId="0" applyAlignment="1" applyBorder="1" applyFont="1">
      <alignment vertical="bottom"/>
    </xf>
    <xf borderId="4" fillId="4" fontId="4" numFmtId="166" xfId="0" applyAlignment="1" applyBorder="1" applyFont="1" applyNumberFormat="1">
      <alignment horizontal="right" vertical="bottom"/>
    </xf>
    <xf borderId="4" fillId="0" fontId="7" numFmtId="0" xfId="0" applyAlignment="1" applyBorder="1" applyFont="1">
      <alignment vertical="bottom"/>
    </xf>
    <xf borderId="4" fillId="0" fontId="7" numFmtId="0" xfId="0" applyAlignment="1" applyBorder="1" applyFont="1">
      <alignment horizontal="center" vertical="bottom"/>
    </xf>
    <xf borderId="4" fillId="0" fontId="8" numFmtId="0" xfId="0" applyAlignment="1" applyBorder="1" applyFont="1">
      <alignment vertical="bottom"/>
    </xf>
    <xf borderId="4" fillId="5" fontId="9" numFmtId="0" xfId="0" applyAlignment="1" applyBorder="1" applyFill="1" applyFont="1">
      <alignment horizontal="center" vertical="bottom"/>
    </xf>
    <xf borderId="4" fillId="0" fontId="7" numFmtId="166" xfId="0" applyAlignment="1" applyBorder="1" applyFont="1" applyNumberFormat="1">
      <alignment horizontal="right" readingOrder="0" vertical="bottom"/>
    </xf>
    <xf borderId="4" fillId="0" fontId="7" numFmtId="166" xfId="0" applyAlignment="1" applyBorder="1" applyFont="1" applyNumberFormat="1">
      <alignment horizontal="right" vertical="bottom"/>
    </xf>
    <xf borderId="4" fillId="0" fontId="7" numFmtId="0" xfId="0" applyAlignment="1" applyBorder="1" applyFont="1">
      <alignment horizontal="center" readingOrder="0" vertical="bottom"/>
    </xf>
    <xf borderId="4" fillId="6" fontId="7" numFmtId="0" xfId="0" applyAlignment="1" applyBorder="1" applyFill="1" applyFont="1">
      <alignment vertical="bottom"/>
    </xf>
    <xf borderId="4" fillId="4" fontId="4" numFmtId="0" xfId="0" applyAlignment="1" applyBorder="1" applyFont="1">
      <alignment readingOrder="0" vertical="bottom"/>
    </xf>
    <xf borderId="4" fillId="0" fontId="8" numFmtId="0" xfId="0" applyAlignment="1" applyBorder="1" applyFont="1">
      <alignment readingOrder="0" vertical="bottom"/>
    </xf>
    <xf borderId="4" fillId="5" fontId="9" numFmtId="0" xfId="0" applyAlignment="1" applyBorder="1" applyFont="1">
      <alignment horizontal="center" readingOrder="0" vertical="bottom"/>
    </xf>
    <xf borderId="0" fillId="7" fontId="10" numFmtId="0" xfId="0" applyFill="1" applyFont="1"/>
    <xf borderId="4" fillId="8" fontId="7" numFmtId="0" xfId="0" applyAlignment="1" applyBorder="1" applyFill="1" applyFont="1">
      <alignment vertical="bottom"/>
    </xf>
    <xf borderId="0" fillId="9" fontId="10" numFmtId="0" xfId="0" applyFill="1" applyFont="1"/>
    <xf borderId="4" fillId="0" fontId="11" numFmtId="0" xfId="0" applyAlignment="1" applyBorder="1" applyFont="1">
      <alignment horizontal="center" vertical="bottom"/>
    </xf>
    <xf borderId="4" fillId="10" fontId="12" numFmtId="0" xfId="0" applyAlignment="1" applyBorder="1" applyFill="1" applyFont="1">
      <alignment horizontal="center" readingOrder="0" vertical="bottom"/>
    </xf>
    <xf borderId="0" fillId="10" fontId="10" numFmtId="0" xfId="0" applyAlignment="1" applyFont="1">
      <alignment readingOrder="0"/>
    </xf>
    <xf borderId="4" fillId="0" fontId="13" numFmtId="0" xfId="0" applyAlignment="1" applyBorder="1" applyFont="1">
      <alignment vertical="bottom"/>
    </xf>
    <xf borderId="0" fillId="0" fontId="10" numFmtId="167" xfId="0" applyFont="1" applyNumberFormat="1"/>
    <xf borderId="4" fillId="0" fontId="14" numFmtId="0" xfId="0" applyAlignment="1" applyBorder="1" applyFont="1">
      <alignment vertical="bottom"/>
    </xf>
    <xf borderId="4" fillId="0" fontId="7" numFmtId="168" xfId="0" applyAlignment="1" applyBorder="1" applyFont="1" applyNumberFormat="1">
      <alignment horizontal="center" readingOrder="0" vertical="bottom"/>
    </xf>
    <xf borderId="4" fillId="0" fontId="15" numFmtId="0" xfId="0" applyAlignment="1" applyBorder="1" applyFont="1">
      <alignment horizontal="left" readingOrder="0" vertical="bottom"/>
    </xf>
    <xf borderId="4" fillId="0" fontId="7" numFmtId="0" xfId="0" applyAlignment="1" applyBorder="1" applyFont="1">
      <alignment readingOrder="0" vertical="bottom"/>
    </xf>
    <xf borderId="0" fillId="7" fontId="10" numFmtId="0" xfId="0" applyAlignment="1" applyFont="1">
      <alignment readingOrder="0"/>
    </xf>
    <xf borderId="4" fillId="0" fontId="13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4" fillId="11" fontId="7" numFmtId="0" xfId="0" applyAlignment="1" applyBorder="1" applyFill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7">
        <v>46089.0</v>
      </c>
      <c r="K2" s="7">
        <v>46090.0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</row>
    <row r="3">
      <c r="A3" s="8" t="s">
        <v>10</v>
      </c>
      <c r="B3" s="9" t="s">
        <v>11</v>
      </c>
      <c r="C3" s="10"/>
      <c r="D3" s="10"/>
      <c r="E3" s="10"/>
      <c r="F3" s="11"/>
      <c r="G3" s="11"/>
      <c r="H3" s="8" t="s">
        <v>12</v>
      </c>
      <c r="I3" s="9" t="s">
        <v>13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</row>
    <row r="4">
      <c r="A4" s="13" t="s">
        <v>14</v>
      </c>
      <c r="B4" s="14" t="s">
        <v>15</v>
      </c>
      <c r="C4" s="12"/>
      <c r="D4" s="12"/>
      <c r="E4" s="15">
        <v>5.0</v>
      </c>
      <c r="F4" s="16">
        <v>46237.0</v>
      </c>
      <c r="G4" s="17">
        <f t="shared" ref="G4:G7" si="1">WORKDAY(F4, E4 - 1)</f>
        <v>46241</v>
      </c>
      <c r="H4" s="18" t="s">
        <v>12</v>
      </c>
      <c r="I4" s="12" t="s">
        <v>16</v>
      </c>
      <c r="J4" s="19"/>
      <c r="K4" s="19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>
      <c r="A5" s="13" t="s">
        <v>18</v>
      </c>
      <c r="B5" s="12" t="s">
        <v>19</v>
      </c>
      <c r="C5" s="12"/>
      <c r="D5" s="13"/>
      <c r="E5" s="15">
        <v>90.0</v>
      </c>
      <c r="F5" s="16">
        <v>46244.0</v>
      </c>
      <c r="G5" s="17">
        <f t="shared" si="1"/>
        <v>46367</v>
      </c>
      <c r="H5" s="13" t="s">
        <v>20</v>
      </c>
      <c r="I5" s="12" t="s">
        <v>16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>
      <c r="A6" s="13" t="s">
        <v>21</v>
      </c>
      <c r="B6" s="12" t="s">
        <v>22</v>
      </c>
      <c r="C6" s="12"/>
      <c r="D6" s="13" t="s">
        <v>18</v>
      </c>
      <c r="E6" s="15">
        <v>15.0</v>
      </c>
      <c r="F6" s="17">
        <f>WORKDAY(G5, 1)</f>
        <v>46370</v>
      </c>
      <c r="G6" s="17">
        <f t="shared" si="1"/>
        <v>46388</v>
      </c>
      <c r="H6" s="13" t="s">
        <v>20</v>
      </c>
      <c r="I6" s="12" t="s">
        <v>16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9"/>
      <c r="AD6" s="19"/>
      <c r="AE6" s="19"/>
      <c r="AF6" s="19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>
      <c r="A7" s="13" t="s">
        <v>25</v>
      </c>
      <c r="B7" s="12" t="s">
        <v>26</v>
      </c>
      <c r="C7" s="12"/>
      <c r="D7" s="13" t="s">
        <v>18</v>
      </c>
      <c r="E7" s="15">
        <v>15.0</v>
      </c>
      <c r="F7" s="17">
        <f>WORKDAY(G5, 1)</f>
        <v>46370</v>
      </c>
      <c r="G7" s="17">
        <f t="shared" si="1"/>
        <v>46388</v>
      </c>
      <c r="H7" s="13" t="s">
        <v>12</v>
      </c>
      <c r="I7" s="12" t="s">
        <v>16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24"/>
      <c r="AD7" s="24"/>
      <c r="AE7" s="24"/>
      <c r="AF7" s="24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>
      <c r="A8" s="13" t="s">
        <v>27</v>
      </c>
      <c r="B8" s="12" t="s">
        <v>28</v>
      </c>
      <c r="C8" s="12"/>
      <c r="D8" s="13" t="s">
        <v>29</v>
      </c>
      <c r="E8" s="13">
        <v>0.0</v>
      </c>
      <c r="F8" s="17"/>
      <c r="G8" s="17"/>
      <c r="H8" s="13" t="s">
        <v>12</v>
      </c>
      <c r="I8" s="12" t="s">
        <v>30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 t="str">
        <f t="shared" ref="V8:AY8" si="2">IF(AND($F8&gt;=V$2,$F8&lt;=V$2+6),"◆","")</f>
        <v>◆</v>
      </c>
      <c r="W8" s="12" t="str">
        <f t="shared" si="2"/>
        <v>◆</v>
      </c>
      <c r="X8" s="12" t="str">
        <f t="shared" si="2"/>
        <v>◆</v>
      </c>
      <c r="Y8" s="12" t="str">
        <f t="shared" si="2"/>
        <v>◆</v>
      </c>
      <c r="Z8" s="12" t="str">
        <f t="shared" si="2"/>
        <v>◆</v>
      </c>
      <c r="AA8" s="12" t="str">
        <f t="shared" si="2"/>
        <v>◆</v>
      </c>
      <c r="AB8" s="12" t="str">
        <f t="shared" si="2"/>
        <v>◆</v>
      </c>
      <c r="AC8" s="12" t="str">
        <f t="shared" si="2"/>
        <v>◆</v>
      </c>
      <c r="AD8" s="12" t="str">
        <f t="shared" si="2"/>
        <v>◆</v>
      </c>
      <c r="AE8" s="12" t="str">
        <f t="shared" si="2"/>
        <v>◆</v>
      </c>
      <c r="AF8" s="26" t="str">
        <f t="shared" si="2"/>
        <v>◆</v>
      </c>
      <c r="AG8" s="12" t="str">
        <f t="shared" si="2"/>
        <v>◆</v>
      </c>
      <c r="AH8" s="12" t="str">
        <f t="shared" si="2"/>
        <v>◆</v>
      </c>
      <c r="AI8" s="12" t="str">
        <f t="shared" si="2"/>
        <v>◆</v>
      </c>
      <c r="AJ8" s="12" t="str">
        <f t="shared" si="2"/>
        <v>◆</v>
      </c>
      <c r="AK8" s="12" t="str">
        <f t="shared" si="2"/>
        <v>◆</v>
      </c>
      <c r="AL8" s="12" t="str">
        <f t="shared" si="2"/>
        <v>◆</v>
      </c>
      <c r="AM8" s="12" t="str">
        <f t="shared" si="2"/>
        <v>◆</v>
      </c>
      <c r="AN8" s="12" t="str">
        <f t="shared" si="2"/>
        <v>◆</v>
      </c>
      <c r="AO8" s="12" t="str">
        <f t="shared" si="2"/>
        <v>◆</v>
      </c>
      <c r="AP8" s="12" t="str">
        <f t="shared" si="2"/>
        <v>◆</v>
      </c>
      <c r="AQ8" s="12" t="str">
        <f t="shared" si="2"/>
        <v>◆</v>
      </c>
      <c r="AR8" s="12" t="str">
        <f t="shared" si="2"/>
        <v>◆</v>
      </c>
      <c r="AS8" s="12" t="str">
        <f t="shared" si="2"/>
        <v>◆</v>
      </c>
      <c r="AT8" s="12" t="str">
        <f t="shared" si="2"/>
        <v>◆</v>
      </c>
      <c r="AU8" s="12" t="str">
        <f t="shared" si="2"/>
        <v>◆</v>
      </c>
      <c r="AV8" s="12" t="str">
        <f t="shared" si="2"/>
        <v>◆</v>
      </c>
      <c r="AW8" s="12" t="str">
        <f t="shared" si="2"/>
        <v>◆</v>
      </c>
      <c r="AX8" s="12" t="str">
        <f t="shared" si="2"/>
        <v>◆</v>
      </c>
      <c r="AY8" s="12" t="str">
        <f t="shared" si="2"/>
        <v>◆</v>
      </c>
    </row>
    <row r="9">
      <c r="A9" s="8" t="s">
        <v>31</v>
      </c>
      <c r="B9" s="9" t="s">
        <v>32</v>
      </c>
      <c r="C9" s="10"/>
      <c r="D9" s="10"/>
      <c r="E9" s="10"/>
      <c r="F9" s="11"/>
      <c r="G9" s="11"/>
      <c r="H9" s="8" t="s">
        <v>12</v>
      </c>
      <c r="I9" s="9" t="s">
        <v>13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</row>
    <row r="10">
      <c r="A10" s="13" t="s">
        <v>34</v>
      </c>
      <c r="B10" s="14" t="s">
        <v>35</v>
      </c>
      <c r="C10" s="12"/>
      <c r="D10" s="18" t="s">
        <v>36</v>
      </c>
      <c r="E10" s="22">
        <v>5.0</v>
      </c>
      <c r="F10" s="16">
        <v>46120.0</v>
      </c>
      <c r="G10" s="17">
        <f>WORKDAY(F10, E10 - 1)</f>
        <v>46126</v>
      </c>
      <c r="H10" s="13" t="s">
        <v>12</v>
      </c>
      <c r="I10" s="12" t="s">
        <v>16</v>
      </c>
      <c r="J10" s="24"/>
      <c r="K10" s="24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</row>
    <row r="11">
      <c r="A11" s="13" t="s">
        <v>37</v>
      </c>
      <c r="B11" s="29" t="s">
        <v>38</v>
      </c>
      <c r="C11" s="12"/>
      <c r="D11" s="13" t="s">
        <v>21</v>
      </c>
      <c r="E11" s="15">
        <v>5.0</v>
      </c>
      <c r="F11" s="17"/>
      <c r="G11" s="17"/>
      <c r="H11" s="13" t="s">
        <v>20</v>
      </c>
      <c r="I11" s="12" t="s">
        <v>16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9"/>
      <c r="AG11" s="19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</row>
    <row r="12">
      <c r="A12" s="13" t="s">
        <v>39</v>
      </c>
      <c r="B12" s="29" t="s">
        <v>40</v>
      </c>
      <c r="C12" s="12"/>
      <c r="D12" s="13" t="s">
        <v>21</v>
      </c>
      <c r="E12" s="15">
        <v>5.0</v>
      </c>
      <c r="F12" s="17"/>
      <c r="G12" s="17"/>
      <c r="H12" s="13" t="s">
        <v>12</v>
      </c>
      <c r="I12" s="12" t="s">
        <v>16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24"/>
      <c r="AG12" s="24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</row>
    <row r="13">
      <c r="A13" s="13" t="s">
        <v>41</v>
      </c>
      <c r="B13" s="29" t="s">
        <v>42</v>
      </c>
      <c r="C13" s="12"/>
      <c r="D13" s="13" t="s">
        <v>21</v>
      </c>
      <c r="E13" s="15">
        <v>5.0</v>
      </c>
      <c r="F13" s="17"/>
      <c r="G13" s="17"/>
      <c r="H13" s="13" t="s">
        <v>12</v>
      </c>
      <c r="I13" s="12" t="s">
        <v>16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24"/>
      <c r="AG13" s="24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</row>
    <row r="14">
      <c r="A14" s="13" t="s">
        <v>43</v>
      </c>
      <c r="B14" s="29" t="s">
        <v>44</v>
      </c>
      <c r="C14" s="12"/>
      <c r="D14" s="13" t="s">
        <v>34</v>
      </c>
      <c r="E14" s="15">
        <v>3.0</v>
      </c>
      <c r="F14" s="17"/>
      <c r="G14" s="17"/>
      <c r="H14" s="13" t="s">
        <v>12</v>
      </c>
      <c r="I14" s="12" t="s">
        <v>16</v>
      </c>
      <c r="J14" s="12"/>
      <c r="K14" s="24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</row>
    <row r="15">
      <c r="A15" s="13" t="s">
        <v>45</v>
      </c>
      <c r="B15" s="29" t="s">
        <v>46</v>
      </c>
      <c r="C15" s="12"/>
      <c r="D15" s="13" t="s">
        <v>43</v>
      </c>
      <c r="E15" s="15">
        <v>3.0</v>
      </c>
      <c r="F15" s="17"/>
      <c r="G15" s="17"/>
      <c r="H15" s="13" t="s">
        <v>12</v>
      </c>
      <c r="I15" s="12" t="s">
        <v>16</v>
      </c>
      <c r="J15" s="12"/>
      <c r="K15" s="24"/>
      <c r="L15" s="24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</row>
    <row r="16">
      <c r="A16" s="13" t="s">
        <v>47</v>
      </c>
      <c r="B16" s="12" t="s">
        <v>48</v>
      </c>
      <c r="C16" s="12"/>
      <c r="D16" s="13" t="s">
        <v>49</v>
      </c>
      <c r="E16" s="13">
        <v>0.0</v>
      </c>
      <c r="F16" s="17"/>
      <c r="G16" s="17"/>
      <c r="H16" s="13" t="s">
        <v>20</v>
      </c>
      <c r="I16" s="12" t="s">
        <v>30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 t="str">
        <f t="shared" ref="V16:AY16" si="3">IF(AND($F16&gt;=V$2,$F16&lt;=V$2+6),"◆","")</f>
        <v>◆</v>
      </c>
      <c r="W16" s="12" t="str">
        <f t="shared" si="3"/>
        <v>◆</v>
      </c>
      <c r="X16" s="12" t="str">
        <f t="shared" si="3"/>
        <v>◆</v>
      </c>
      <c r="Y16" s="12" t="str">
        <f t="shared" si="3"/>
        <v>◆</v>
      </c>
      <c r="Z16" s="12" t="str">
        <f t="shared" si="3"/>
        <v>◆</v>
      </c>
      <c r="AA16" s="12" t="str">
        <f t="shared" si="3"/>
        <v>◆</v>
      </c>
      <c r="AB16" s="12" t="str">
        <f t="shared" si="3"/>
        <v>◆</v>
      </c>
      <c r="AC16" s="12" t="str">
        <f t="shared" si="3"/>
        <v>◆</v>
      </c>
      <c r="AD16" s="12" t="str">
        <f t="shared" si="3"/>
        <v>◆</v>
      </c>
      <c r="AE16" s="12" t="str">
        <f t="shared" si="3"/>
        <v>◆</v>
      </c>
      <c r="AF16" s="12" t="str">
        <f t="shared" si="3"/>
        <v>◆</v>
      </c>
      <c r="AG16" s="26" t="str">
        <f t="shared" si="3"/>
        <v>◆</v>
      </c>
      <c r="AH16" s="12" t="str">
        <f t="shared" si="3"/>
        <v>◆</v>
      </c>
      <c r="AI16" s="12" t="str">
        <f t="shared" si="3"/>
        <v>◆</v>
      </c>
      <c r="AJ16" s="12" t="str">
        <f t="shared" si="3"/>
        <v>◆</v>
      </c>
      <c r="AK16" s="12" t="str">
        <f t="shared" si="3"/>
        <v>◆</v>
      </c>
      <c r="AL16" s="12" t="str">
        <f t="shared" si="3"/>
        <v>◆</v>
      </c>
      <c r="AM16" s="12" t="str">
        <f t="shared" si="3"/>
        <v>◆</v>
      </c>
      <c r="AN16" s="12" t="str">
        <f t="shared" si="3"/>
        <v>◆</v>
      </c>
      <c r="AO16" s="12" t="str">
        <f t="shared" si="3"/>
        <v>◆</v>
      </c>
      <c r="AP16" s="12" t="str">
        <f t="shared" si="3"/>
        <v>◆</v>
      </c>
      <c r="AQ16" s="12" t="str">
        <f t="shared" si="3"/>
        <v>◆</v>
      </c>
      <c r="AR16" s="12" t="str">
        <f t="shared" si="3"/>
        <v>◆</v>
      </c>
      <c r="AS16" s="12" t="str">
        <f t="shared" si="3"/>
        <v>◆</v>
      </c>
      <c r="AT16" s="12" t="str">
        <f t="shared" si="3"/>
        <v>◆</v>
      </c>
      <c r="AU16" s="12" t="str">
        <f t="shared" si="3"/>
        <v>◆</v>
      </c>
      <c r="AV16" s="12" t="str">
        <f t="shared" si="3"/>
        <v>◆</v>
      </c>
      <c r="AW16" s="12" t="str">
        <f t="shared" si="3"/>
        <v>◆</v>
      </c>
      <c r="AX16" s="12" t="str">
        <f t="shared" si="3"/>
        <v>◆</v>
      </c>
      <c r="AY16" s="12" t="str">
        <f t="shared" si="3"/>
        <v>◆</v>
      </c>
    </row>
    <row r="17">
      <c r="A17" s="8" t="s">
        <v>50</v>
      </c>
      <c r="B17" s="9" t="s">
        <v>51</v>
      </c>
      <c r="C17" s="10"/>
      <c r="D17" s="10"/>
      <c r="E17" s="10"/>
      <c r="F17" s="11"/>
      <c r="G17" s="11"/>
      <c r="H17" s="8" t="s">
        <v>12</v>
      </c>
      <c r="I17" s="9" t="s">
        <v>13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</row>
    <row r="18">
      <c r="A18" s="13" t="s">
        <v>52</v>
      </c>
      <c r="B18" s="31" t="s">
        <v>53</v>
      </c>
      <c r="C18" s="12"/>
      <c r="D18" s="18" t="s">
        <v>36</v>
      </c>
      <c r="E18" s="15">
        <v>3.0</v>
      </c>
      <c r="F18" s="17"/>
      <c r="G18" s="17"/>
      <c r="H18" s="13" t="s">
        <v>12</v>
      </c>
      <c r="I18" s="12" t="s">
        <v>16</v>
      </c>
      <c r="J18" s="24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</row>
    <row r="19">
      <c r="A19" s="13" t="s">
        <v>54</v>
      </c>
      <c r="B19" s="31" t="s">
        <v>55</v>
      </c>
      <c r="C19" s="12"/>
      <c r="D19" s="13" t="s">
        <v>56</v>
      </c>
      <c r="E19" s="15">
        <v>10.0</v>
      </c>
      <c r="F19" s="17"/>
      <c r="G19" s="17"/>
      <c r="H19" s="13" t="s">
        <v>12</v>
      </c>
      <c r="I19" s="12" t="s">
        <v>16</v>
      </c>
      <c r="J19" s="12"/>
      <c r="K19" s="12"/>
      <c r="L19" s="12"/>
      <c r="M19" s="12"/>
      <c r="N19" s="24"/>
      <c r="O19" s="24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</row>
    <row r="20">
      <c r="A20" s="13" t="s">
        <v>57</v>
      </c>
      <c r="B20" s="29" t="s">
        <v>58</v>
      </c>
      <c r="C20" s="12"/>
      <c r="D20" s="13" t="s">
        <v>59</v>
      </c>
      <c r="E20" s="15">
        <v>1.0</v>
      </c>
      <c r="F20" s="17"/>
      <c r="G20" s="17"/>
      <c r="H20" s="13" t="s">
        <v>20</v>
      </c>
      <c r="I20" s="12" t="s">
        <v>16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9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</row>
    <row r="21">
      <c r="A21" s="13" t="s">
        <v>60</v>
      </c>
      <c r="B21" s="12" t="s">
        <v>61</v>
      </c>
      <c r="C21" s="12"/>
      <c r="D21" s="13" t="s">
        <v>57</v>
      </c>
      <c r="E21" s="13">
        <v>0.0</v>
      </c>
      <c r="F21" s="17"/>
      <c r="G21" s="17"/>
      <c r="H21" s="13" t="s">
        <v>20</v>
      </c>
      <c r="I21" s="12" t="s">
        <v>30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 t="str">
        <f t="shared" ref="V21:AY21" si="4">IF(AND($F21&gt;=V$2,$F21&lt;=V$2+6),"◆","")</f>
        <v>◆</v>
      </c>
      <c r="W21" s="12" t="str">
        <f t="shared" si="4"/>
        <v>◆</v>
      </c>
      <c r="X21" s="12" t="str">
        <f t="shared" si="4"/>
        <v>◆</v>
      </c>
      <c r="Y21" s="12" t="str">
        <f t="shared" si="4"/>
        <v>◆</v>
      </c>
      <c r="Z21" s="12" t="str">
        <f t="shared" si="4"/>
        <v>◆</v>
      </c>
      <c r="AA21" s="12" t="str">
        <f t="shared" si="4"/>
        <v>◆</v>
      </c>
      <c r="AB21" s="12" t="str">
        <f t="shared" si="4"/>
        <v>◆</v>
      </c>
      <c r="AC21" s="12" t="str">
        <f t="shared" si="4"/>
        <v>◆</v>
      </c>
      <c r="AD21" s="12" t="str">
        <f t="shared" si="4"/>
        <v>◆</v>
      </c>
      <c r="AE21" s="12" t="str">
        <f t="shared" si="4"/>
        <v>◆</v>
      </c>
      <c r="AF21" s="12" t="str">
        <f t="shared" si="4"/>
        <v>◆</v>
      </c>
      <c r="AG21" s="26" t="str">
        <f t="shared" si="4"/>
        <v>◆</v>
      </c>
      <c r="AH21" s="12" t="str">
        <f t="shared" si="4"/>
        <v>◆</v>
      </c>
      <c r="AI21" s="12" t="str">
        <f t="shared" si="4"/>
        <v>◆</v>
      </c>
      <c r="AJ21" s="12" t="str">
        <f t="shared" si="4"/>
        <v>◆</v>
      </c>
      <c r="AK21" s="12" t="str">
        <f t="shared" si="4"/>
        <v>◆</v>
      </c>
      <c r="AL21" s="12" t="str">
        <f t="shared" si="4"/>
        <v>◆</v>
      </c>
      <c r="AM21" s="12" t="str">
        <f t="shared" si="4"/>
        <v>◆</v>
      </c>
      <c r="AN21" s="12" t="str">
        <f t="shared" si="4"/>
        <v>◆</v>
      </c>
      <c r="AO21" s="12" t="str">
        <f t="shared" si="4"/>
        <v>◆</v>
      </c>
      <c r="AP21" s="12" t="str">
        <f t="shared" si="4"/>
        <v>◆</v>
      </c>
      <c r="AQ21" s="12" t="str">
        <f t="shared" si="4"/>
        <v>◆</v>
      </c>
      <c r="AR21" s="12" t="str">
        <f t="shared" si="4"/>
        <v>◆</v>
      </c>
      <c r="AS21" s="12" t="str">
        <f t="shared" si="4"/>
        <v>◆</v>
      </c>
      <c r="AT21" s="12" t="str">
        <f t="shared" si="4"/>
        <v>◆</v>
      </c>
      <c r="AU21" s="12" t="str">
        <f t="shared" si="4"/>
        <v>◆</v>
      </c>
      <c r="AV21" s="12" t="str">
        <f t="shared" si="4"/>
        <v>◆</v>
      </c>
      <c r="AW21" s="12" t="str">
        <f t="shared" si="4"/>
        <v>◆</v>
      </c>
      <c r="AX21" s="12" t="str">
        <f t="shared" si="4"/>
        <v>◆</v>
      </c>
      <c r="AY21" s="12" t="str">
        <f t="shared" si="4"/>
        <v>◆</v>
      </c>
    </row>
    <row r="22">
      <c r="A22" s="8" t="s">
        <v>62</v>
      </c>
      <c r="B22" s="9" t="s">
        <v>63</v>
      </c>
      <c r="C22" s="10"/>
      <c r="D22" s="10"/>
      <c r="E22" s="10"/>
      <c r="F22" s="11"/>
      <c r="G22" s="11"/>
      <c r="H22" s="8" t="s">
        <v>12</v>
      </c>
      <c r="I22" s="9" t="s">
        <v>13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2"/>
      <c r="AR22" s="12"/>
      <c r="AS22" s="12"/>
      <c r="AT22" s="12"/>
      <c r="AU22" s="12"/>
      <c r="AV22" s="12"/>
      <c r="AW22" s="12"/>
      <c r="AX22" s="12"/>
      <c r="AY22" s="12"/>
    </row>
    <row r="23">
      <c r="A23" s="13" t="s">
        <v>64</v>
      </c>
      <c r="B23" s="29" t="s">
        <v>65</v>
      </c>
      <c r="C23" s="12"/>
      <c r="D23" s="13" t="s">
        <v>60</v>
      </c>
      <c r="E23" s="15">
        <v>30.0</v>
      </c>
      <c r="F23" s="17"/>
      <c r="G23" s="17"/>
      <c r="H23" s="13" t="s">
        <v>20</v>
      </c>
      <c r="I23" s="12" t="s">
        <v>16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9"/>
      <c r="AH23" s="19"/>
      <c r="AI23" s="19"/>
      <c r="AJ23" s="19"/>
      <c r="AK23" s="19"/>
      <c r="AL23" s="19"/>
      <c r="AM23" s="19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</row>
    <row r="24">
      <c r="A24" s="13" t="s">
        <v>66</v>
      </c>
      <c r="B24" s="29" t="s">
        <v>67</v>
      </c>
      <c r="C24" s="12"/>
      <c r="D24" s="13">
        <v>4.1</v>
      </c>
      <c r="E24" s="15">
        <v>30.0</v>
      </c>
      <c r="F24" s="17"/>
      <c r="G24" s="17"/>
      <c r="H24" s="13" t="s">
        <v>12</v>
      </c>
      <c r="I24" s="12" t="s">
        <v>16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24"/>
      <c r="AH24" s="24"/>
      <c r="AI24" s="24"/>
      <c r="AJ24" s="24"/>
      <c r="AK24" s="24"/>
      <c r="AL24" s="24"/>
      <c r="AM24" s="24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</row>
    <row r="25">
      <c r="A25" s="13" t="s">
        <v>68</v>
      </c>
      <c r="B25" s="29" t="s">
        <v>69</v>
      </c>
      <c r="C25" s="12"/>
      <c r="D25" s="13">
        <v>4.1</v>
      </c>
      <c r="E25" s="15">
        <v>30.0</v>
      </c>
      <c r="F25" s="17"/>
      <c r="G25" s="17"/>
      <c r="H25" s="13" t="s">
        <v>20</v>
      </c>
      <c r="I25" s="12" t="s">
        <v>16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9"/>
      <c r="AH25" s="19"/>
      <c r="AI25" s="19"/>
      <c r="AJ25" s="19"/>
      <c r="AK25" s="19"/>
      <c r="AL25" s="19"/>
      <c r="AM25" s="19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</row>
    <row r="26">
      <c r="A26" s="13" t="s">
        <v>70</v>
      </c>
      <c r="B26" s="29" t="s">
        <v>71</v>
      </c>
      <c r="C26" s="12"/>
      <c r="D26" s="13">
        <v>4.1</v>
      </c>
      <c r="E26" s="15">
        <v>30.0</v>
      </c>
      <c r="F26" s="17"/>
      <c r="G26" s="17"/>
      <c r="H26" s="13" t="s">
        <v>20</v>
      </c>
      <c r="I26" s="12" t="s">
        <v>16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9"/>
      <c r="AH26" s="19"/>
      <c r="AI26" s="19"/>
      <c r="AJ26" s="19"/>
      <c r="AK26" s="19"/>
      <c r="AL26" s="19"/>
      <c r="AM26" s="19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</row>
    <row r="27">
      <c r="A27" s="13" t="s">
        <v>72</v>
      </c>
      <c r="B27" s="29" t="s">
        <v>73</v>
      </c>
      <c r="C27" s="12"/>
      <c r="D27" s="13">
        <v>4.4</v>
      </c>
      <c r="E27" s="15">
        <v>30.0</v>
      </c>
      <c r="F27" s="17"/>
      <c r="G27" s="17"/>
      <c r="H27" s="13" t="s">
        <v>12</v>
      </c>
      <c r="I27" s="12" t="s">
        <v>16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24"/>
      <c r="AK27" s="24"/>
      <c r="AL27" s="24"/>
      <c r="AM27" s="24"/>
      <c r="AN27" s="24"/>
      <c r="AO27" s="24"/>
      <c r="AP27" s="24"/>
      <c r="AQ27" s="12"/>
      <c r="AR27" s="12"/>
      <c r="AS27" s="12"/>
      <c r="AT27" s="12"/>
      <c r="AU27" s="12"/>
      <c r="AV27" s="12"/>
      <c r="AW27" s="12"/>
      <c r="AX27" s="12"/>
      <c r="AY27" s="12"/>
    </row>
    <row r="28">
      <c r="A28" s="13" t="s">
        <v>100</v>
      </c>
      <c r="B28" s="12" t="s">
        <v>75</v>
      </c>
      <c r="C28" s="12"/>
      <c r="D28" s="13" t="s">
        <v>76</v>
      </c>
      <c r="E28" s="13">
        <v>0.0</v>
      </c>
      <c r="F28" s="17"/>
      <c r="G28" s="17"/>
      <c r="H28" s="13" t="s">
        <v>20</v>
      </c>
      <c r="I28" s="12" t="s">
        <v>30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 t="str">
        <f t="shared" ref="V28:AY28" si="5">IF(AND($F28&gt;=V$2,$F28&lt;=V$2+6),"◆","")</f>
        <v>◆</v>
      </c>
      <c r="W28" s="12" t="str">
        <f t="shared" si="5"/>
        <v>◆</v>
      </c>
      <c r="X28" s="12" t="str">
        <f t="shared" si="5"/>
        <v>◆</v>
      </c>
      <c r="Y28" s="12" t="str">
        <f t="shared" si="5"/>
        <v>◆</v>
      </c>
      <c r="Z28" s="12" t="str">
        <f t="shared" si="5"/>
        <v>◆</v>
      </c>
      <c r="AA28" s="12" t="str">
        <f t="shared" si="5"/>
        <v>◆</v>
      </c>
      <c r="AB28" s="12" t="str">
        <f t="shared" si="5"/>
        <v>◆</v>
      </c>
      <c r="AC28" s="12" t="str">
        <f t="shared" si="5"/>
        <v>◆</v>
      </c>
      <c r="AD28" s="12" t="str">
        <f t="shared" si="5"/>
        <v>◆</v>
      </c>
      <c r="AE28" s="12" t="str">
        <f t="shared" si="5"/>
        <v>◆</v>
      </c>
      <c r="AF28" s="12" t="str">
        <f t="shared" si="5"/>
        <v>◆</v>
      </c>
      <c r="AG28" s="12" t="str">
        <f t="shared" si="5"/>
        <v>◆</v>
      </c>
      <c r="AH28" s="12" t="str">
        <f t="shared" si="5"/>
        <v>◆</v>
      </c>
      <c r="AI28" s="12" t="str">
        <f t="shared" si="5"/>
        <v>◆</v>
      </c>
      <c r="AJ28" s="12" t="str">
        <f t="shared" si="5"/>
        <v>◆</v>
      </c>
      <c r="AK28" s="12" t="str">
        <f t="shared" si="5"/>
        <v>◆</v>
      </c>
      <c r="AL28" s="12" t="str">
        <f t="shared" si="5"/>
        <v>◆</v>
      </c>
      <c r="AM28" s="12" t="str">
        <f t="shared" si="5"/>
        <v>◆</v>
      </c>
      <c r="AN28" s="12" t="str">
        <f t="shared" si="5"/>
        <v>◆</v>
      </c>
      <c r="AO28" s="12" t="str">
        <f t="shared" si="5"/>
        <v>◆</v>
      </c>
      <c r="AP28" s="26" t="str">
        <f t="shared" si="5"/>
        <v>◆</v>
      </c>
      <c r="AQ28" s="12" t="str">
        <f t="shared" si="5"/>
        <v>◆</v>
      </c>
      <c r="AR28" s="12" t="str">
        <f t="shared" si="5"/>
        <v>◆</v>
      </c>
      <c r="AS28" s="12" t="str">
        <f t="shared" si="5"/>
        <v>◆</v>
      </c>
      <c r="AT28" s="12" t="str">
        <f t="shared" si="5"/>
        <v>◆</v>
      </c>
      <c r="AU28" s="12" t="str">
        <f t="shared" si="5"/>
        <v>◆</v>
      </c>
      <c r="AV28" s="12" t="str">
        <f t="shared" si="5"/>
        <v>◆</v>
      </c>
      <c r="AW28" s="12" t="str">
        <f t="shared" si="5"/>
        <v>◆</v>
      </c>
      <c r="AX28" s="12" t="str">
        <f t="shared" si="5"/>
        <v>◆</v>
      </c>
      <c r="AY28" s="12" t="str">
        <f t="shared" si="5"/>
        <v>◆</v>
      </c>
    </row>
    <row r="29">
      <c r="A29" s="8" t="s">
        <v>77</v>
      </c>
      <c r="B29" s="9" t="s">
        <v>78</v>
      </c>
      <c r="C29" s="10"/>
      <c r="D29" s="10"/>
      <c r="E29" s="10"/>
      <c r="F29" s="11"/>
      <c r="G29" s="11"/>
      <c r="H29" s="8" t="s">
        <v>12</v>
      </c>
      <c r="I29" s="9" t="s">
        <v>13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0"/>
      <c r="AR29" s="10"/>
      <c r="AS29" s="10"/>
      <c r="AT29" s="10"/>
      <c r="AU29" s="12"/>
      <c r="AV29" s="12"/>
      <c r="AW29" s="12"/>
      <c r="AX29" s="12"/>
      <c r="AY29" s="12"/>
    </row>
    <row r="30">
      <c r="A30" s="13" t="s">
        <v>79</v>
      </c>
      <c r="B30" s="29" t="s">
        <v>80</v>
      </c>
      <c r="C30" s="12"/>
      <c r="D30" s="13" t="s">
        <v>100</v>
      </c>
      <c r="E30" s="15">
        <v>1.0</v>
      </c>
      <c r="F30" s="17"/>
      <c r="G30" s="17"/>
      <c r="H30" s="13" t="s">
        <v>20</v>
      </c>
      <c r="I30" s="12" t="s">
        <v>16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9"/>
      <c r="AR30" s="12"/>
      <c r="AS30" s="12"/>
      <c r="AT30" s="12"/>
      <c r="AU30" s="12"/>
      <c r="AV30" s="12"/>
      <c r="AW30" s="12"/>
      <c r="AX30" s="12"/>
      <c r="AY30" s="12"/>
    </row>
    <row r="31">
      <c r="A31" s="13" t="s">
        <v>81</v>
      </c>
      <c r="B31" s="29" t="s">
        <v>82</v>
      </c>
      <c r="C31" s="12"/>
      <c r="D31" s="18">
        <v>5.1</v>
      </c>
      <c r="E31" s="15">
        <v>1.0</v>
      </c>
      <c r="F31" s="17"/>
      <c r="G31" s="17"/>
      <c r="H31" s="13" t="s">
        <v>12</v>
      </c>
      <c r="I31" s="12" t="s">
        <v>16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24"/>
      <c r="AR31" s="12"/>
      <c r="AS31" s="12"/>
      <c r="AT31" s="12"/>
      <c r="AU31" s="12"/>
      <c r="AV31" s="12"/>
      <c r="AW31" s="12"/>
      <c r="AX31" s="12"/>
      <c r="AY31" s="12"/>
    </row>
    <row r="32">
      <c r="A32" s="13" t="s">
        <v>83</v>
      </c>
      <c r="B32" s="29" t="s">
        <v>84</v>
      </c>
      <c r="C32" s="12"/>
      <c r="D32" s="18">
        <v>5.1</v>
      </c>
      <c r="E32" s="15">
        <v>15.0</v>
      </c>
      <c r="F32" s="17"/>
      <c r="G32" s="17"/>
      <c r="H32" s="13" t="s">
        <v>20</v>
      </c>
      <c r="I32" s="12" t="s">
        <v>16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9"/>
      <c r="AR32" s="19"/>
      <c r="AS32" s="19"/>
      <c r="AT32" s="12"/>
      <c r="AU32" s="12"/>
      <c r="AV32" s="12"/>
      <c r="AW32" s="12"/>
      <c r="AX32" s="12"/>
      <c r="AY32" s="12"/>
    </row>
    <row r="33">
      <c r="A33" s="13" t="s">
        <v>85</v>
      </c>
      <c r="B33" s="29" t="s">
        <v>86</v>
      </c>
      <c r="C33" s="12"/>
      <c r="D33" s="18">
        <v>5.1</v>
      </c>
      <c r="E33" s="15">
        <v>5.0</v>
      </c>
      <c r="F33" s="17"/>
      <c r="G33" s="17"/>
      <c r="H33" s="13" t="s">
        <v>12</v>
      </c>
      <c r="I33" s="12" t="s">
        <v>16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24"/>
      <c r="AR33" s="12"/>
      <c r="AS33" s="12"/>
      <c r="AT33" s="12"/>
      <c r="AU33" s="12"/>
      <c r="AV33" s="12"/>
      <c r="AW33" s="12"/>
      <c r="AX33" s="12"/>
      <c r="AY33" s="12"/>
    </row>
    <row r="34">
      <c r="A34" s="13" t="s">
        <v>87</v>
      </c>
      <c r="B34" s="29" t="s">
        <v>88</v>
      </c>
      <c r="C34" s="12"/>
      <c r="D34" s="13" t="s">
        <v>83</v>
      </c>
      <c r="E34" s="15">
        <v>3.0</v>
      </c>
      <c r="F34" s="17"/>
      <c r="G34" s="17"/>
      <c r="H34" s="13" t="s">
        <v>20</v>
      </c>
      <c r="I34" s="12" t="s">
        <v>16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9"/>
      <c r="AU34" s="12"/>
      <c r="AV34" s="12"/>
      <c r="AW34" s="12"/>
      <c r="AX34" s="12"/>
      <c r="AY34" s="12"/>
    </row>
    <row r="35">
      <c r="A35" s="13" t="s">
        <v>89</v>
      </c>
      <c r="B35" s="29" t="s">
        <v>90</v>
      </c>
      <c r="C35" s="12"/>
      <c r="D35" s="13" t="s">
        <v>87</v>
      </c>
      <c r="E35" s="15">
        <v>1.0</v>
      </c>
      <c r="F35" s="17"/>
      <c r="G35" s="17"/>
      <c r="H35" s="13" t="s">
        <v>20</v>
      </c>
      <c r="I35" s="12" t="s">
        <v>16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9"/>
      <c r="AU35" s="12"/>
      <c r="AV35" s="12"/>
      <c r="AW35" s="12"/>
      <c r="AX35" s="12"/>
      <c r="AY35" s="12"/>
    </row>
    <row r="36">
      <c r="A36" s="13" t="s">
        <v>101</v>
      </c>
      <c r="B36" s="12" t="s">
        <v>95</v>
      </c>
      <c r="C36" s="12"/>
      <c r="D36" s="13" t="s">
        <v>89</v>
      </c>
      <c r="E36" s="13">
        <v>0.0</v>
      </c>
      <c r="F36" s="17"/>
      <c r="G36" s="17"/>
      <c r="H36" s="13" t="s">
        <v>20</v>
      </c>
      <c r="I36" s="12" t="s">
        <v>30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 t="str">
        <f t="shared" ref="V36:AY36" si="6">IF(AND($F36&gt;=V$2,$F36&lt;=V$2+6),"◆","")</f>
        <v>◆</v>
      </c>
      <c r="W36" s="12" t="str">
        <f t="shared" si="6"/>
        <v>◆</v>
      </c>
      <c r="X36" s="12" t="str">
        <f t="shared" si="6"/>
        <v>◆</v>
      </c>
      <c r="Y36" s="12" t="str">
        <f t="shared" si="6"/>
        <v>◆</v>
      </c>
      <c r="Z36" s="12" t="str">
        <f t="shared" si="6"/>
        <v>◆</v>
      </c>
      <c r="AA36" s="12" t="str">
        <f t="shared" si="6"/>
        <v>◆</v>
      </c>
      <c r="AB36" s="12" t="str">
        <f t="shared" si="6"/>
        <v>◆</v>
      </c>
      <c r="AC36" s="12" t="str">
        <f t="shared" si="6"/>
        <v>◆</v>
      </c>
      <c r="AD36" s="12" t="str">
        <f t="shared" si="6"/>
        <v>◆</v>
      </c>
      <c r="AE36" s="12" t="str">
        <f t="shared" si="6"/>
        <v>◆</v>
      </c>
      <c r="AF36" s="12" t="str">
        <f t="shared" si="6"/>
        <v>◆</v>
      </c>
      <c r="AG36" s="12" t="str">
        <f t="shared" si="6"/>
        <v>◆</v>
      </c>
      <c r="AH36" s="12" t="str">
        <f t="shared" si="6"/>
        <v>◆</v>
      </c>
      <c r="AI36" s="12" t="str">
        <f t="shared" si="6"/>
        <v>◆</v>
      </c>
      <c r="AJ36" s="12" t="str">
        <f t="shared" si="6"/>
        <v>◆</v>
      </c>
      <c r="AK36" s="12" t="str">
        <f t="shared" si="6"/>
        <v>◆</v>
      </c>
      <c r="AL36" s="12" t="str">
        <f t="shared" si="6"/>
        <v>◆</v>
      </c>
      <c r="AM36" s="12" t="str">
        <f t="shared" si="6"/>
        <v>◆</v>
      </c>
      <c r="AN36" s="12" t="str">
        <f t="shared" si="6"/>
        <v>◆</v>
      </c>
      <c r="AO36" s="12" t="str">
        <f t="shared" si="6"/>
        <v>◆</v>
      </c>
      <c r="AP36" s="12" t="str">
        <f t="shared" si="6"/>
        <v>◆</v>
      </c>
      <c r="AQ36" s="12" t="str">
        <f t="shared" si="6"/>
        <v>◆</v>
      </c>
      <c r="AR36" s="12" t="str">
        <f t="shared" si="6"/>
        <v>◆</v>
      </c>
      <c r="AS36" s="12" t="str">
        <f t="shared" si="6"/>
        <v>◆</v>
      </c>
      <c r="AT36" s="26" t="str">
        <f t="shared" si="6"/>
        <v>◆</v>
      </c>
      <c r="AU36" s="12" t="str">
        <f t="shared" si="6"/>
        <v>◆</v>
      </c>
      <c r="AV36" s="12" t="str">
        <f t="shared" si="6"/>
        <v>◆</v>
      </c>
      <c r="AW36" s="12" t="str">
        <f t="shared" si="6"/>
        <v>◆</v>
      </c>
      <c r="AX36" s="12" t="str">
        <f t="shared" si="6"/>
        <v>◆</v>
      </c>
      <c r="AY36" s="12" t="str">
        <f t="shared" si="6"/>
        <v>◆</v>
      </c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</row>
    <row r="38">
      <c r="A38" s="37"/>
      <c r="B38" s="38" t="s">
        <v>96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</row>
    <row r="39">
      <c r="A39" s="37"/>
      <c r="B39" s="24"/>
      <c r="C39" s="39" t="s">
        <v>2</v>
      </c>
      <c r="D39" s="19"/>
      <c r="E39" s="39" t="s">
        <v>97</v>
      </c>
      <c r="F39" s="10"/>
      <c r="G39" s="39" t="s">
        <v>98</v>
      </c>
      <c r="H39" s="40"/>
      <c r="I39" s="39" t="s">
        <v>99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7"/>
      <c r="AY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AX503" s="37"/>
      <c r="AY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7"/>
      <c r="AY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AX506" s="37"/>
      <c r="AY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AX509" s="37"/>
      <c r="AY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AX510" s="37"/>
      <c r="AY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7"/>
      <c r="AY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AX513" s="37"/>
      <c r="AY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AX514" s="37"/>
      <c r="AY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AX517" s="37"/>
      <c r="AY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  <c r="AU518" s="37"/>
      <c r="AV518" s="37"/>
      <c r="AW518" s="37"/>
      <c r="AX518" s="37"/>
      <c r="AY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AX519" s="37"/>
      <c r="AY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7"/>
      <c r="AY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AX529" s="37"/>
      <c r="AY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  <c r="AU530" s="37"/>
      <c r="AV530" s="37"/>
      <c r="AW530" s="37"/>
      <c r="AX530" s="37"/>
      <c r="AY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AX531" s="37"/>
      <c r="AY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  <c r="AU533" s="37"/>
      <c r="AV533" s="37"/>
      <c r="AW533" s="37"/>
      <c r="AX533" s="37"/>
      <c r="AY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  <c r="AR534" s="37"/>
      <c r="AS534" s="37"/>
      <c r="AT534" s="37"/>
      <c r="AU534" s="37"/>
      <c r="AV534" s="37"/>
      <c r="AW534" s="37"/>
      <c r="AX534" s="37"/>
      <c r="AY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AX535" s="37"/>
      <c r="AY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  <c r="AR538" s="37"/>
      <c r="AS538" s="37"/>
      <c r="AT538" s="37"/>
      <c r="AU538" s="37"/>
      <c r="AV538" s="37"/>
      <c r="AW538" s="37"/>
      <c r="AX538" s="37"/>
      <c r="AY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  <c r="AU539" s="37"/>
      <c r="AV539" s="37"/>
      <c r="AW539" s="37"/>
      <c r="AX539" s="37"/>
      <c r="AY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  <c r="AU540" s="37"/>
      <c r="AV540" s="37"/>
      <c r="AW540" s="37"/>
      <c r="AX540" s="37"/>
      <c r="AY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AX541" s="37"/>
      <c r="AY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AX542" s="37"/>
      <c r="AY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  <c r="AU543" s="37"/>
      <c r="AV543" s="37"/>
      <c r="AW543" s="37"/>
      <c r="AX543" s="37"/>
      <c r="AY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AX544" s="37"/>
      <c r="AY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AX545" s="37"/>
      <c r="AY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AX546" s="37"/>
      <c r="AY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37"/>
      <c r="AV548" s="37"/>
      <c r="AW548" s="37"/>
      <c r="AX548" s="37"/>
      <c r="AY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AX550" s="37"/>
      <c r="AY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AX551" s="37"/>
      <c r="AY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7"/>
      <c r="AY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  <c r="AU553" s="37"/>
      <c r="AV553" s="37"/>
      <c r="AW553" s="37"/>
      <c r="AX553" s="37"/>
      <c r="AY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  <c r="AR554" s="37"/>
      <c r="AS554" s="37"/>
      <c r="AT554" s="37"/>
      <c r="AU554" s="37"/>
      <c r="AV554" s="37"/>
      <c r="AW554" s="37"/>
      <c r="AX554" s="37"/>
      <c r="AY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  <c r="AU555" s="37"/>
      <c r="AV555" s="37"/>
      <c r="AW555" s="37"/>
      <c r="AX555" s="37"/>
      <c r="AY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  <c r="AU556" s="37"/>
      <c r="AV556" s="37"/>
      <c r="AW556" s="37"/>
      <c r="AX556" s="37"/>
      <c r="AY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7"/>
      <c r="AY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AX558" s="37"/>
      <c r="AY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AX559" s="37"/>
      <c r="AY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AX560" s="37"/>
      <c r="AY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37"/>
      <c r="AY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  <c r="AU563" s="37"/>
      <c r="AV563" s="37"/>
      <c r="AW563" s="37"/>
      <c r="AX563" s="37"/>
      <c r="AY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  <c r="AU564" s="37"/>
      <c r="AV564" s="37"/>
      <c r="AW564" s="37"/>
      <c r="AX564" s="37"/>
      <c r="AY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  <c r="AS565" s="37"/>
      <c r="AT565" s="37"/>
      <c r="AU565" s="37"/>
      <c r="AV565" s="37"/>
      <c r="AW565" s="37"/>
      <c r="AX565" s="37"/>
      <c r="AY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  <c r="AR566" s="37"/>
      <c r="AS566" s="37"/>
      <c r="AT566" s="37"/>
      <c r="AU566" s="37"/>
      <c r="AV566" s="37"/>
      <c r="AW566" s="37"/>
      <c r="AX566" s="37"/>
      <c r="AY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  <c r="AU569" s="37"/>
      <c r="AV569" s="37"/>
      <c r="AW569" s="37"/>
      <c r="AX569" s="37"/>
      <c r="AY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AX570" s="37"/>
      <c r="AY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AX571" s="37"/>
      <c r="AY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AX572" s="37"/>
      <c r="AY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  <c r="AU573" s="37"/>
      <c r="AV573" s="37"/>
      <c r="AW573" s="37"/>
      <c r="AX573" s="37"/>
      <c r="AY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  <c r="AS574" s="37"/>
      <c r="AT574" s="37"/>
      <c r="AU574" s="37"/>
      <c r="AV574" s="37"/>
      <c r="AW574" s="37"/>
      <c r="AX574" s="37"/>
      <c r="AY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AX575" s="37"/>
      <c r="AY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AX576" s="37"/>
      <c r="AY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  <c r="AU577" s="37"/>
      <c r="AV577" s="37"/>
      <c r="AW577" s="37"/>
      <c r="AX577" s="37"/>
      <c r="AY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  <c r="AU578" s="37"/>
      <c r="AV578" s="37"/>
      <c r="AW578" s="37"/>
      <c r="AX578" s="37"/>
      <c r="AY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  <c r="AU579" s="37"/>
      <c r="AV579" s="37"/>
      <c r="AW579" s="37"/>
      <c r="AX579" s="37"/>
      <c r="AY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  <c r="AU580" s="37"/>
      <c r="AV580" s="37"/>
      <c r="AW580" s="37"/>
      <c r="AX580" s="37"/>
      <c r="AY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AX581" s="37"/>
      <c r="AY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7"/>
      <c r="AY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  <c r="AU583" s="37"/>
      <c r="AV583" s="37"/>
      <c r="AW583" s="37"/>
      <c r="AX583" s="37"/>
      <c r="AY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AX584" s="37"/>
      <c r="AY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  <c r="AU585" s="37"/>
      <c r="AV585" s="37"/>
      <c r="AW585" s="37"/>
      <c r="AX585" s="37"/>
      <c r="AY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  <c r="AR586" s="37"/>
      <c r="AS586" s="37"/>
      <c r="AT586" s="37"/>
      <c r="AU586" s="37"/>
      <c r="AV586" s="37"/>
      <c r="AW586" s="37"/>
      <c r="AX586" s="37"/>
      <c r="AY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7"/>
      <c r="AY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AX588" s="37"/>
      <c r="AY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  <c r="AT589" s="37"/>
      <c r="AU589" s="37"/>
      <c r="AV589" s="37"/>
      <c r="AW589" s="37"/>
      <c r="AX589" s="37"/>
      <c r="AY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  <c r="AU590" s="37"/>
      <c r="AV590" s="37"/>
      <c r="AW590" s="37"/>
      <c r="AX590" s="37"/>
      <c r="AY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AX591" s="37"/>
      <c r="AY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AX592" s="37"/>
      <c r="AY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AX593" s="37"/>
      <c r="AY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AX594" s="37"/>
      <c r="AY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  <c r="AU595" s="37"/>
      <c r="AV595" s="37"/>
      <c r="AW595" s="37"/>
      <c r="AX595" s="37"/>
      <c r="AY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AX596" s="37"/>
      <c r="AY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AX597" s="37"/>
      <c r="AY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AX598" s="37"/>
      <c r="AY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  <c r="AU599" s="37"/>
      <c r="AV599" s="37"/>
      <c r="AW599" s="37"/>
      <c r="AX599" s="37"/>
      <c r="AY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  <c r="AU600" s="37"/>
      <c r="AV600" s="37"/>
      <c r="AW600" s="37"/>
      <c r="AX600" s="37"/>
      <c r="AY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  <c r="AU601" s="37"/>
      <c r="AV601" s="37"/>
      <c r="AW601" s="37"/>
      <c r="AX601" s="37"/>
      <c r="AY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AX602" s="37"/>
      <c r="AY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AX603" s="37"/>
      <c r="AY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  <c r="AU604" s="37"/>
      <c r="AV604" s="37"/>
      <c r="AW604" s="37"/>
      <c r="AX604" s="37"/>
      <c r="AY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  <c r="AU605" s="37"/>
      <c r="AV605" s="37"/>
      <c r="AW605" s="37"/>
      <c r="AX605" s="37"/>
      <c r="AY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  <c r="AU606" s="37"/>
      <c r="AV606" s="37"/>
      <c r="AW606" s="37"/>
      <c r="AX606" s="37"/>
      <c r="AY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AX607" s="37"/>
      <c r="AY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AX608" s="37"/>
      <c r="AY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AX609" s="37"/>
      <c r="AY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AX610" s="37"/>
      <c r="AY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7"/>
      <c r="AY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  <c r="AU613" s="37"/>
      <c r="AV613" s="37"/>
      <c r="AW613" s="37"/>
      <c r="AX613" s="37"/>
      <c r="AY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  <c r="AU614" s="37"/>
      <c r="AV614" s="37"/>
      <c r="AW614" s="37"/>
      <c r="AX614" s="37"/>
      <c r="AY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AX615" s="37"/>
      <c r="AY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AX616" s="37"/>
      <c r="AY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AX618" s="37"/>
      <c r="AY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37"/>
      <c r="AY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AX623" s="37"/>
      <c r="AY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7"/>
      <c r="AY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  <c r="AU625" s="37"/>
      <c r="AV625" s="37"/>
      <c r="AW625" s="37"/>
      <c r="AX625" s="37"/>
      <c r="AY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AX626" s="37"/>
      <c r="AY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AX628" s="37"/>
      <c r="AY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  <c r="AR629" s="37"/>
      <c r="AS629" s="37"/>
      <c r="AT629" s="37"/>
      <c r="AU629" s="37"/>
      <c r="AV629" s="37"/>
      <c r="AW629" s="37"/>
      <c r="AX629" s="37"/>
      <c r="AY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AX630" s="37"/>
      <c r="AY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AX631" s="37"/>
      <c r="AY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AX632" s="37"/>
      <c r="AY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  <c r="AU633" s="37"/>
      <c r="AV633" s="37"/>
      <c r="AW633" s="37"/>
      <c r="AX633" s="37"/>
      <c r="AY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  <c r="AR634" s="37"/>
      <c r="AS634" s="37"/>
      <c r="AT634" s="37"/>
      <c r="AU634" s="37"/>
      <c r="AV634" s="37"/>
      <c r="AW634" s="37"/>
      <c r="AX634" s="37"/>
      <c r="AY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  <c r="AU635" s="37"/>
      <c r="AV635" s="37"/>
      <c r="AW635" s="37"/>
      <c r="AX635" s="37"/>
      <c r="AY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  <c r="AU636" s="37"/>
      <c r="AV636" s="37"/>
      <c r="AW636" s="37"/>
      <c r="AX636" s="37"/>
      <c r="AY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  <c r="AU637" s="37"/>
      <c r="AV637" s="37"/>
      <c r="AW637" s="37"/>
      <c r="AX637" s="37"/>
      <c r="AY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  <c r="AR638" s="37"/>
      <c r="AS638" s="37"/>
      <c r="AT638" s="37"/>
      <c r="AU638" s="37"/>
      <c r="AV638" s="37"/>
      <c r="AW638" s="37"/>
      <c r="AX638" s="37"/>
      <c r="AY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  <c r="AU639" s="37"/>
      <c r="AV639" s="37"/>
      <c r="AW639" s="37"/>
      <c r="AX639" s="37"/>
      <c r="AY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  <c r="AU640" s="37"/>
      <c r="AV640" s="37"/>
      <c r="AW640" s="37"/>
      <c r="AX640" s="37"/>
      <c r="AY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37"/>
      <c r="AY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AX642" s="37"/>
      <c r="AY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  <c r="AU643" s="37"/>
      <c r="AV643" s="37"/>
      <c r="AW643" s="37"/>
      <c r="AX643" s="37"/>
      <c r="AY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  <c r="AU644" s="37"/>
      <c r="AV644" s="37"/>
      <c r="AW644" s="37"/>
      <c r="AX644" s="37"/>
      <c r="AY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AX645" s="37"/>
      <c r="AY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AX646" s="37"/>
      <c r="AY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AX647" s="37"/>
      <c r="AY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  <c r="AU648" s="37"/>
      <c r="AV648" s="37"/>
      <c r="AW648" s="37"/>
      <c r="AX648" s="37"/>
      <c r="AY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  <c r="AR649" s="37"/>
      <c r="AS649" s="37"/>
      <c r="AT649" s="37"/>
      <c r="AU649" s="37"/>
      <c r="AV649" s="37"/>
      <c r="AW649" s="37"/>
      <c r="AX649" s="37"/>
      <c r="AY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  <c r="AR650" s="37"/>
      <c r="AS650" s="37"/>
      <c r="AT650" s="37"/>
      <c r="AU650" s="37"/>
      <c r="AV650" s="37"/>
      <c r="AW650" s="37"/>
      <c r="AX650" s="37"/>
      <c r="AY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  <c r="AU651" s="37"/>
      <c r="AV651" s="37"/>
      <c r="AW651" s="37"/>
      <c r="AX651" s="37"/>
      <c r="AY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  <c r="AU652" s="37"/>
      <c r="AV652" s="37"/>
      <c r="AW652" s="37"/>
      <c r="AX652" s="37"/>
      <c r="AY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AX653" s="37"/>
      <c r="AY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AX654" s="37"/>
      <c r="AY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AX655" s="37"/>
      <c r="AY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  <c r="AU656" s="37"/>
      <c r="AV656" s="37"/>
      <c r="AW656" s="37"/>
      <c r="AX656" s="37"/>
      <c r="AY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  <c r="AR657" s="37"/>
      <c r="AS657" s="37"/>
      <c r="AT657" s="37"/>
      <c r="AU657" s="37"/>
      <c r="AV657" s="37"/>
      <c r="AW657" s="37"/>
      <c r="AX657" s="37"/>
      <c r="AY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  <c r="AR658" s="37"/>
      <c r="AS658" s="37"/>
      <c r="AT658" s="37"/>
      <c r="AU658" s="37"/>
      <c r="AV658" s="37"/>
      <c r="AW658" s="37"/>
      <c r="AX658" s="37"/>
      <c r="AY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  <c r="AR659" s="37"/>
      <c r="AS659" s="37"/>
      <c r="AT659" s="37"/>
      <c r="AU659" s="37"/>
      <c r="AV659" s="37"/>
      <c r="AW659" s="37"/>
      <c r="AX659" s="37"/>
      <c r="AY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  <c r="AR660" s="37"/>
      <c r="AS660" s="37"/>
      <c r="AT660" s="37"/>
      <c r="AU660" s="37"/>
      <c r="AV660" s="37"/>
      <c r="AW660" s="37"/>
      <c r="AX660" s="37"/>
      <c r="AY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  <c r="AR661" s="37"/>
      <c r="AS661" s="37"/>
      <c r="AT661" s="37"/>
      <c r="AU661" s="37"/>
      <c r="AV661" s="37"/>
      <c r="AW661" s="37"/>
      <c r="AX661" s="37"/>
      <c r="AY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  <c r="AQ662" s="37"/>
      <c r="AR662" s="37"/>
      <c r="AS662" s="37"/>
      <c r="AT662" s="37"/>
      <c r="AU662" s="37"/>
      <c r="AV662" s="37"/>
      <c r="AW662" s="37"/>
      <c r="AX662" s="37"/>
      <c r="AY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  <c r="AR663" s="37"/>
      <c r="AS663" s="37"/>
      <c r="AT663" s="37"/>
      <c r="AU663" s="37"/>
      <c r="AV663" s="37"/>
      <c r="AW663" s="37"/>
      <c r="AX663" s="37"/>
      <c r="AY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  <c r="AR664" s="37"/>
      <c r="AS664" s="37"/>
      <c r="AT664" s="37"/>
      <c r="AU664" s="37"/>
      <c r="AV664" s="37"/>
      <c r="AW664" s="37"/>
      <c r="AX664" s="37"/>
      <c r="AY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  <c r="AR665" s="37"/>
      <c r="AS665" s="37"/>
      <c r="AT665" s="37"/>
      <c r="AU665" s="37"/>
      <c r="AV665" s="37"/>
      <c r="AW665" s="37"/>
      <c r="AX665" s="37"/>
      <c r="AY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  <c r="AR666" s="37"/>
      <c r="AS666" s="37"/>
      <c r="AT666" s="37"/>
      <c r="AU666" s="37"/>
      <c r="AV666" s="37"/>
      <c r="AW666" s="37"/>
      <c r="AX666" s="37"/>
      <c r="AY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  <c r="AU667" s="37"/>
      <c r="AV667" s="37"/>
      <c r="AW667" s="37"/>
      <c r="AX667" s="37"/>
      <c r="AY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  <c r="AR668" s="37"/>
      <c r="AS668" s="37"/>
      <c r="AT668" s="37"/>
      <c r="AU668" s="37"/>
      <c r="AV668" s="37"/>
      <c r="AW668" s="37"/>
      <c r="AX668" s="37"/>
      <c r="AY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  <c r="AR669" s="37"/>
      <c r="AS669" s="37"/>
      <c r="AT669" s="37"/>
      <c r="AU669" s="37"/>
      <c r="AV669" s="37"/>
      <c r="AW669" s="37"/>
      <c r="AX669" s="37"/>
      <c r="AY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  <c r="AQ670" s="37"/>
      <c r="AR670" s="37"/>
      <c r="AS670" s="37"/>
      <c r="AT670" s="37"/>
      <c r="AU670" s="37"/>
      <c r="AV670" s="37"/>
      <c r="AW670" s="37"/>
      <c r="AX670" s="37"/>
      <c r="AY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AX671" s="37"/>
      <c r="AY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  <c r="AU672" s="37"/>
      <c r="AV672" s="37"/>
      <c r="AW672" s="37"/>
      <c r="AX672" s="37"/>
      <c r="AY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  <c r="AQ673" s="37"/>
      <c r="AR673" s="37"/>
      <c r="AS673" s="37"/>
      <c r="AT673" s="37"/>
      <c r="AU673" s="37"/>
      <c r="AV673" s="37"/>
      <c r="AW673" s="37"/>
      <c r="AX673" s="37"/>
      <c r="AY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  <c r="AQ674" s="37"/>
      <c r="AR674" s="37"/>
      <c r="AS674" s="37"/>
      <c r="AT674" s="37"/>
      <c r="AU674" s="37"/>
      <c r="AV674" s="37"/>
      <c r="AW674" s="37"/>
      <c r="AX674" s="37"/>
      <c r="AY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  <c r="AR675" s="37"/>
      <c r="AS675" s="37"/>
      <c r="AT675" s="37"/>
      <c r="AU675" s="37"/>
      <c r="AV675" s="37"/>
      <c r="AW675" s="37"/>
      <c r="AX675" s="37"/>
      <c r="AY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AX676" s="37"/>
      <c r="AY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  <c r="AR677" s="37"/>
      <c r="AS677" s="37"/>
      <c r="AT677" s="37"/>
      <c r="AU677" s="37"/>
      <c r="AV677" s="37"/>
      <c r="AW677" s="37"/>
      <c r="AX677" s="37"/>
      <c r="AY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  <c r="AR678" s="37"/>
      <c r="AS678" s="37"/>
      <c r="AT678" s="37"/>
      <c r="AU678" s="37"/>
      <c r="AV678" s="37"/>
      <c r="AW678" s="37"/>
      <c r="AX678" s="37"/>
      <c r="AY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7"/>
      <c r="AY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AX680" s="37"/>
      <c r="AY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  <c r="AU681" s="37"/>
      <c r="AV681" s="37"/>
      <c r="AW681" s="37"/>
      <c r="AX681" s="37"/>
      <c r="AY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  <c r="AQ682" s="37"/>
      <c r="AR682" s="37"/>
      <c r="AS682" s="37"/>
      <c r="AT682" s="37"/>
      <c r="AU682" s="37"/>
      <c r="AV682" s="37"/>
      <c r="AW682" s="37"/>
      <c r="AX682" s="37"/>
      <c r="AY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  <c r="AQ683" s="37"/>
      <c r="AR683" s="37"/>
      <c r="AS683" s="37"/>
      <c r="AT683" s="37"/>
      <c r="AU683" s="37"/>
      <c r="AV683" s="37"/>
      <c r="AW683" s="37"/>
      <c r="AX683" s="37"/>
      <c r="AY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  <c r="AU684" s="37"/>
      <c r="AV684" s="37"/>
      <c r="AW684" s="37"/>
      <c r="AX684" s="37"/>
      <c r="AY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  <c r="AR685" s="37"/>
      <c r="AS685" s="37"/>
      <c r="AT685" s="37"/>
      <c r="AU685" s="37"/>
      <c r="AV685" s="37"/>
      <c r="AW685" s="37"/>
      <c r="AX685" s="37"/>
      <c r="AY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  <c r="AR686" s="37"/>
      <c r="AS686" s="37"/>
      <c r="AT686" s="37"/>
      <c r="AU686" s="37"/>
      <c r="AV686" s="37"/>
      <c r="AW686" s="37"/>
      <c r="AX686" s="37"/>
      <c r="AY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  <c r="AU687" s="37"/>
      <c r="AV687" s="37"/>
      <c r="AW687" s="37"/>
      <c r="AX687" s="37"/>
      <c r="AY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  <c r="AR688" s="37"/>
      <c r="AS688" s="37"/>
      <c r="AT688" s="37"/>
      <c r="AU688" s="37"/>
      <c r="AV688" s="37"/>
      <c r="AW688" s="37"/>
      <c r="AX688" s="37"/>
      <c r="AY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  <c r="AU689" s="37"/>
      <c r="AV689" s="37"/>
      <c r="AW689" s="37"/>
      <c r="AX689" s="37"/>
      <c r="AY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  <c r="AR690" s="37"/>
      <c r="AS690" s="37"/>
      <c r="AT690" s="37"/>
      <c r="AU690" s="37"/>
      <c r="AV690" s="37"/>
      <c r="AW690" s="37"/>
      <c r="AX690" s="37"/>
      <c r="AY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  <c r="AU691" s="37"/>
      <c r="AV691" s="37"/>
      <c r="AW691" s="37"/>
      <c r="AX691" s="37"/>
      <c r="AY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  <c r="AR692" s="37"/>
      <c r="AS692" s="37"/>
      <c r="AT692" s="37"/>
      <c r="AU692" s="37"/>
      <c r="AV692" s="37"/>
      <c r="AW692" s="37"/>
      <c r="AX692" s="37"/>
      <c r="AY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  <c r="AU693" s="37"/>
      <c r="AV693" s="37"/>
      <c r="AW693" s="37"/>
      <c r="AX693" s="37"/>
      <c r="AY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  <c r="AQ694" s="37"/>
      <c r="AR694" s="37"/>
      <c r="AS694" s="37"/>
      <c r="AT694" s="37"/>
      <c r="AU694" s="37"/>
      <c r="AV694" s="37"/>
      <c r="AW694" s="37"/>
      <c r="AX694" s="37"/>
      <c r="AY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  <c r="AR695" s="37"/>
      <c r="AS695" s="37"/>
      <c r="AT695" s="37"/>
      <c r="AU695" s="37"/>
      <c r="AV695" s="37"/>
      <c r="AW695" s="37"/>
      <c r="AX695" s="37"/>
      <c r="AY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  <c r="AR696" s="37"/>
      <c r="AS696" s="37"/>
      <c r="AT696" s="37"/>
      <c r="AU696" s="37"/>
      <c r="AV696" s="37"/>
      <c r="AW696" s="37"/>
      <c r="AX696" s="37"/>
      <c r="AY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  <c r="AU697" s="37"/>
      <c r="AV697" s="37"/>
      <c r="AW697" s="37"/>
      <c r="AX697" s="37"/>
      <c r="AY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  <c r="AU698" s="37"/>
      <c r="AV698" s="37"/>
      <c r="AW698" s="37"/>
      <c r="AX698" s="37"/>
      <c r="AY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AX699" s="37"/>
      <c r="AY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  <c r="AU700" s="37"/>
      <c r="AV700" s="37"/>
      <c r="AW700" s="37"/>
      <c r="AX700" s="37"/>
      <c r="AY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AX701" s="37"/>
      <c r="AY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7"/>
      <c r="AY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  <c r="AU703" s="37"/>
      <c r="AV703" s="37"/>
      <c r="AW703" s="37"/>
      <c r="AX703" s="37"/>
      <c r="AY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  <c r="AU704" s="37"/>
      <c r="AV704" s="37"/>
      <c r="AW704" s="37"/>
      <c r="AX704" s="37"/>
      <c r="AY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  <c r="AU705" s="37"/>
      <c r="AV705" s="37"/>
      <c r="AW705" s="37"/>
      <c r="AX705" s="37"/>
      <c r="AY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/>
      <c r="AW706" s="37"/>
      <c r="AX706" s="37"/>
      <c r="AY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  <c r="AU708" s="37"/>
      <c r="AV708" s="37"/>
      <c r="AW708" s="37"/>
      <c r="AX708" s="37"/>
      <c r="AY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  <c r="AR709" s="37"/>
      <c r="AS709" s="37"/>
      <c r="AT709" s="37"/>
      <c r="AU709" s="37"/>
      <c r="AV709" s="37"/>
      <c r="AW709" s="37"/>
      <c r="AX709" s="37"/>
      <c r="AY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  <c r="AR710" s="37"/>
      <c r="AS710" s="37"/>
      <c r="AT710" s="37"/>
      <c r="AU710" s="37"/>
      <c r="AV710" s="37"/>
      <c r="AW710" s="37"/>
      <c r="AX710" s="37"/>
      <c r="AY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  <c r="AU711" s="37"/>
      <c r="AV711" s="37"/>
      <c r="AW711" s="37"/>
      <c r="AX711" s="37"/>
      <c r="AY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  <c r="AU712" s="37"/>
      <c r="AV712" s="37"/>
      <c r="AW712" s="37"/>
      <c r="AX712" s="37"/>
      <c r="AY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  <c r="AQ713" s="37"/>
      <c r="AR713" s="37"/>
      <c r="AS713" s="37"/>
      <c r="AT713" s="37"/>
      <c r="AU713" s="37"/>
      <c r="AV713" s="37"/>
      <c r="AW713" s="37"/>
      <c r="AX713" s="37"/>
      <c r="AY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  <c r="AR714" s="37"/>
      <c r="AS714" s="37"/>
      <c r="AT714" s="37"/>
      <c r="AU714" s="37"/>
      <c r="AV714" s="37"/>
      <c r="AW714" s="37"/>
      <c r="AX714" s="37"/>
      <c r="AY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  <c r="AR715" s="37"/>
      <c r="AS715" s="37"/>
      <c r="AT715" s="37"/>
      <c r="AU715" s="37"/>
      <c r="AV715" s="37"/>
      <c r="AW715" s="37"/>
      <c r="AX715" s="37"/>
      <c r="AY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  <c r="AR716" s="37"/>
      <c r="AS716" s="37"/>
      <c r="AT716" s="37"/>
      <c r="AU716" s="37"/>
      <c r="AV716" s="37"/>
      <c r="AW716" s="37"/>
      <c r="AX716" s="37"/>
      <c r="AY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  <c r="AU717" s="37"/>
      <c r="AV717" s="37"/>
      <c r="AW717" s="37"/>
      <c r="AX717" s="37"/>
      <c r="AY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AX718" s="37"/>
      <c r="AY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  <c r="AU719" s="37"/>
      <c r="AV719" s="37"/>
      <c r="AW719" s="37"/>
      <c r="AX719" s="37"/>
      <c r="AY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  <c r="AU720" s="37"/>
      <c r="AV720" s="37"/>
      <c r="AW720" s="37"/>
      <c r="AX720" s="37"/>
      <c r="AY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  <c r="AU721" s="37"/>
      <c r="AV721" s="37"/>
      <c r="AW721" s="37"/>
      <c r="AX721" s="37"/>
      <c r="AY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  <c r="AU722" s="37"/>
      <c r="AV722" s="37"/>
      <c r="AW722" s="37"/>
      <c r="AX722" s="37"/>
      <c r="AY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AX723" s="37"/>
      <c r="AY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AX724" s="37"/>
      <c r="AY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  <c r="AU725" s="37"/>
      <c r="AV725" s="37"/>
      <c r="AW725" s="37"/>
      <c r="AX725" s="37"/>
      <c r="AY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  <c r="AU726" s="37"/>
      <c r="AV726" s="37"/>
      <c r="AW726" s="37"/>
      <c r="AX726" s="37"/>
      <c r="AY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AX727" s="37"/>
      <c r="AY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AX728" s="37"/>
      <c r="AY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  <c r="AU729" s="37"/>
      <c r="AV729" s="37"/>
      <c r="AW729" s="37"/>
      <c r="AX729" s="37"/>
      <c r="AY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  <c r="AR730" s="37"/>
      <c r="AS730" s="37"/>
      <c r="AT730" s="37"/>
      <c r="AU730" s="37"/>
      <c r="AV730" s="37"/>
      <c r="AW730" s="37"/>
      <c r="AX730" s="37"/>
      <c r="AY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AX731" s="37"/>
      <c r="AY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AX732" s="37"/>
      <c r="AY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  <c r="AR733" s="37"/>
      <c r="AS733" s="37"/>
      <c r="AT733" s="37"/>
      <c r="AU733" s="37"/>
      <c r="AV733" s="37"/>
      <c r="AW733" s="37"/>
      <c r="AX733" s="37"/>
      <c r="AY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  <c r="AU734" s="37"/>
      <c r="AV734" s="37"/>
      <c r="AW734" s="37"/>
      <c r="AX734" s="37"/>
      <c r="AY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  <c r="AU735" s="37"/>
      <c r="AV735" s="37"/>
      <c r="AW735" s="37"/>
      <c r="AX735" s="37"/>
      <c r="AY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  <c r="AU736" s="37"/>
      <c r="AV736" s="37"/>
      <c r="AW736" s="37"/>
      <c r="AX736" s="37"/>
      <c r="AY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AX737" s="37"/>
      <c r="AY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  <c r="AU738" s="37"/>
      <c r="AV738" s="37"/>
      <c r="AW738" s="37"/>
      <c r="AX738" s="37"/>
      <c r="AY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  <c r="AU739" s="37"/>
      <c r="AV739" s="37"/>
      <c r="AW739" s="37"/>
      <c r="AX739" s="37"/>
      <c r="AY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  <c r="AU740" s="37"/>
      <c r="AV740" s="37"/>
      <c r="AW740" s="37"/>
      <c r="AX740" s="37"/>
      <c r="AY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AX741" s="37"/>
      <c r="AY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AX742" s="37"/>
      <c r="AY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AX743" s="37"/>
      <c r="AY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7"/>
      <c r="AY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  <c r="AR745" s="37"/>
      <c r="AS745" s="37"/>
      <c r="AT745" s="37"/>
      <c r="AU745" s="37"/>
      <c r="AV745" s="37"/>
      <c r="AW745" s="37"/>
      <c r="AX745" s="37"/>
      <c r="AY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  <c r="AR746" s="37"/>
      <c r="AS746" s="37"/>
      <c r="AT746" s="37"/>
      <c r="AU746" s="37"/>
      <c r="AV746" s="37"/>
      <c r="AW746" s="37"/>
      <c r="AX746" s="37"/>
      <c r="AY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AX747" s="37"/>
      <c r="AY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  <c r="AU748" s="37"/>
      <c r="AV748" s="37"/>
      <c r="AW748" s="37"/>
      <c r="AX748" s="37"/>
      <c r="AY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AX749" s="37"/>
      <c r="AY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AX750" s="37"/>
      <c r="AY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AX751" s="37"/>
      <c r="AY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  <c r="AU752" s="37"/>
      <c r="AV752" s="37"/>
      <c r="AW752" s="37"/>
      <c r="AX752" s="37"/>
      <c r="AY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  <c r="AU753" s="37"/>
      <c r="AV753" s="37"/>
      <c r="AW753" s="37"/>
      <c r="AX753" s="37"/>
      <c r="AY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  <c r="AR754" s="37"/>
      <c r="AS754" s="37"/>
      <c r="AT754" s="37"/>
      <c r="AU754" s="37"/>
      <c r="AV754" s="37"/>
      <c r="AW754" s="37"/>
      <c r="AX754" s="37"/>
      <c r="AY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  <c r="AU755" s="37"/>
      <c r="AV755" s="37"/>
      <c r="AW755" s="37"/>
      <c r="AX755" s="37"/>
      <c r="AY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  <c r="AU756" s="37"/>
      <c r="AV756" s="37"/>
      <c r="AW756" s="37"/>
      <c r="AX756" s="37"/>
      <c r="AY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AX757" s="37"/>
      <c r="AY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  <c r="AU758" s="37"/>
      <c r="AV758" s="37"/>
      <c r="AW758" s="37"/>
      <c r="AX758" s="37"/>
      <c r="AY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  <c r="AR760" s="37"/>
      <c r="AS760" s="37"/>
      <c r="AT760" s="37"/>
      <c r="AU760" s="37"/>
      <c r="AV760" s="37"/>
      <c r="AW760" s="37"/>
      <c r="AX760" s="37"/>
      <c r="AY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  <c r="AU761" s="37"/>
      <c r="AV761" s="37"/>
      <c r="AW761" s="37"/>
      <c r="AX761" s="37"/>
      <c r="AY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  <c r="AU762" s="37"/>
      <c r="AV762" s="37"/>
      <c r="AW762" s="37"/>
      <c r="AX762" s="37"/>
      <c r="AY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  <c r="AR763" s="37"/>
      <c r="AS763" s="37"/>
      <c r="AT763" s="37"/>
      <c r="AU763" s="37"/>
      <c r="AV763" s="37"/>
      <c r="AW763" s="37"/>
      <c r="AX763" s="37"/>
      <c r="AY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  <c r="AR764" s="37"/>
      <c r="AS764" s="37"/>
      <c r="AT764" s="37"/>
      <c r="AU764" s="37"/>
      <c r="AV764" s="37"/>
      <c r="AW764" s="37"/>
      <c r="AX764" s="37"/>
      <c r="AY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  <c r="AR765" s="37"/>
      <c r="AS765" s="37"/>
      <c r="AT765" s="37"/>
      <c r="AU765" s="37"/>
      <c r="AV765" s="37"/>
      <c r="AW765" s="37"/>
      <c r="AX765" s="37"/>
      <c r="AY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  <c r="AQ766" s="37"/>
      <c r="AR766" s="37"/>
      <c r="AS766" s="37"/>
      <c r="AT766" s="37"/>
      <c r="AU766" s="37"/>
      <c r="AV766" s="37"/>
      <c r="AW766" s="37"/>
      <c r="AX766" s="37"/>
      <c r="AY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  <c r="AU767" s="37"/>
      <c r="AV767" s="37"/>
      <c r="AW767" s="37"/>
      <c r="AX767" s="37"/>
      <c r="AY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  <c r="AQ768" s="37"/>
      <c r="AR768" s="37"/>
      <c r="AS768" s="37"/>
      <c r="AT768" s="37"/>
      <c r="AU768" s="37"/>
      <c r="AV768" s="37"/>
      <c r="AW768" s="37"/>
      <c r="AX768" s="37"/>
      <c r="AY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  <c r="AQ769" s="37"/>
      <c r="AR769" s="37"/>
      <c r="AS769" s="37"/>
      <c r="AT769" s="37"/>
      <c r="AU769" s="37"/>
      <c r="AV769" s="37"/>
      <c r="AW769" s="37"/>
      <c r="AX769" s="37"/>
      <c r="AY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  <c r="AR770" s="37"/>
      <c r="AS770" s="37"/>
      <c r="AT770" s="37"/>
      <c r="AU770" s="37"/>
      <c r="AV770" s="37"/>
      <c r="AW770" s="37"/>
      <c r="AX770" s="37"/>
      <c r="AY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  <c r="AU771" s="37"/>
      <c r="AV771" s="37"/>
      <c r="AW771" s="37"/>
      <c r="AX771" s="37"/>
      <c r="AY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  <c r="AR772" s="37"/>
      <c r="AS772" s="37"/>
      <c r="AT772" s="37"/>
      <c r="AU772" s="37"/>
      <c r="AV772" s="37"/>
      <c r="AW772" s="37"/>
      <c r="AX772" s="37"/>
      <c r="AY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  <c r="AR773" s="37"/>
      <c r="AS773" s="37"/>
      <c r="AT773" s="37"/>
      <c r="AU773" s="37"/>
      <c r="AV773" s="37"/>
      <c r="AW773" s="37"/>
      <c r="AX773" s="37"/>
      <c r="AY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  <c r="AR774" s="37"/>
      <c r="AS774" s="37"/>
      <c r="AT774" s="37"/>
      <c r="AU774" s="37"/>
      <c r="AV774" s="37"/>
      <c r="AW774" s="37"/>
      <c r="AX774" s="37"/>
      <c r="AY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  <c r="AU775" s="37"/>
      <c r="AV775" s="37"/>
      <c r="AW775" s="37"/>
      <c r="AX775" s="37"/>
      <c r="AY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AX776" s="37"/>
      <c r="AY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AX777" s="37"/>
      <c r="AY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  <c r="AQ778" s="37"/>
      <c r="AR778" s="37"/>
      <c r="AS778" s="37"/>
      <c r="AT778" s="37"/>
      <c r="AU778" s="37"/>
      <c r="AV778" s="37"/>
      <c r="AW778" s="37"/>
      <c r="AX778" s="37"/>
      <c r="AY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  <c r="AR779" s="37"/>
      <c r="AS779" s="37"/>
      <c r="AT779" s="37"/>
      <c r="AU779" s="37"/>
      <c r="AV779" s="37"/>
      <c r="AW779" s="37"/>
      <c r="AX779" s="37"/>
      <c r="AY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  <c r="AR780" s="37"/>
      <c r="AS780" s="37"/>
      <c r="AT780" s="37"/>
      <c r="AU780" s="37"/>
      <c r="AV780" s="37"/>
      <c r="AW780" s="37"/>
      <c r="AX780" s="37"/>
      <c r="AY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  <c r="AR781" s="37"/>
      <c r="AS781" s="37"/>
      <c r="AT781" s="37"/>
      <c r="AU781" s="37"/>
      <c r="AV781" s="37"/>
      <c r="AW781" s="37"/>
      <c r="AX781" s="37"/>
      <c r="AY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  <c r="AR782" s="37"/>
      <c r="AS782" s="37"/>
      <c r="AT782" s="37"/>
      <c r="AU782" s="37"/>
      <c r="AV782" s="37"/>
      <c r="AW782" s="37"/>
      <c r="AX782" s="37"/>
      <c r="AY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AX783" s="37"/>
      <c r="AY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AX784" s="37"/>
      <c r="AY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  <c r="AR785" s="37"/>
      <c r="AS785" s="37"/>
      <c r="AT785" s="37"/>
      <c r="AU785" s="37"/>
      <c r="AV785" s="37"/>
      <c r="AW785" s="37"/>
      <c r="AX785" s="37"/>
      <c r="AY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  <c r="AR786" s="37"/>
      <c r="AS786" s="37"/>
      <c r="AT786" s="37"/>
      <c r="AU786" s="37"/>
      <c r="AV786" s="37"/>
      <c r="AW786" s="37"/>
      <c r="AX786" s="37"/>
      <c r="AY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AX787" s="37"/>
      <c r="AY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  <c r="AR788" s="37"/>
      <c r="AS788" s="37"/>
      <c r="AT788" s="37"/>
      <c r="AU788" s="37"/>
      <c r="AV788" s="37"/>
      <c r="AW788" s="37"/>
      <c r="AX788" s="37"/>
      <c r="AY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  <c r="AR789" s="37"/>
      <c r="AS789" s="37"/>
      <c r="AT789" s="37"/>
      <c r="AU789" s="37"/>
      <c r="AV789" s="37"/>
      <c r="AW789" s="37"/>
      <c r="AX789" s="37"/>
      <c r="AY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  <c r="AQ790" s="37"/>
      <c r="AR790" s="37"/>
      <c r="AS790" s="37"/>
      <c r="AT790" s="37"/>
      <c r="AU790" s="37"/>
      <c r="AV790" s="37"/>
      <c r="AW790" s="37"/>
      <c r="AX790" s="37"/>
      <c r="AY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AX791" s="37"/>
      <c r="AY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AX792" s="37"/>
      <c r="AY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AX793" s="37"/>
      <c r="AY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  <c r="AR794" s="37"/>
      <c r="AS794" s="37"/>
      <c r="AT794" s="37"/>
      <c r="AU794" s="37"/>
      <c r="AV794" s="37"/>
      <c r="AW794" s="37"/>
      <c r="AX794" s="37"/>
      <c r="AY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AX795" s="37"/>
      <c r="AY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  <c r="AR796" s="37"/>
      <c r="AS796" s="37"/>
      <c r="AT796" s="37"/>
      <c r="AU796" s="37"/>
      <c r="AV796" s="37"/>
      <c r="AW796" s="37"/>
      <c r="AX796" s="37"/>
      <c r="AY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AX797" s="37"/>
      <c r="AY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  <c r="AR798" s="37"/>
      <c r="AS798" s="37"/>
      <c r="AT798" s="37"/>
      <c r="AU798" s="37"/>
      <c r="AV798" s="37"/>
      <c r="AW798" s="37"/>
      <c r="AX798" s="37"/>
      <c r="AY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  <c r="AR799" s="37"/>
      <c r="AS799" s="37"/>
      <c r="AT799" s="37"/>
      <c r="AU799" s="37"/>
      <c r="AV799" s="37"/>
      <c r="AW799" s="37"/>
      <c r="AX799" s="37"/>
      <c r="AY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  <c r="AR800" s="37"/>
      <c r="AS800" s="37"/>
      <c r="AT800" s="37"/>
      <c r="AU800" s="37"/>
      <c r="AV800" s="37"/>
      <c r="AW800" s="37"/>
      <c r="AX800" s="37"/>
      <c r="AY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7"/>
      <c r="AY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7"/>
      <c r="AY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AX803" s="37"/>
      <c r="AY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  <c r="AR804" s="37"/>
      <c r="AS804" s="37"/>
      <c r="AT804" s="37"/>
      <c r="AU804" s="37"/>
      <c r="AV804" s="37"/>
      <c r="AW804" s="37"/>
      <c r="AX804" s="37"/>
      <c r="AY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  <c r="AR805" s="37"/>
      <c r="AS805" s="37"/>
      <c r="AT805" s="37"/>
      <c r="AU805" s="37"/>
      <c r="AV805" s="37"/>
      <c r="AW805" s="37"/>
      <c r="AX805" s="37"/>
      <c r="AY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AX806" s="37"/>
      <c r="AY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AX807" s="37"/>
      <c r="AY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  <c r="AR808" s="37"/>
      <c r="AS808" s="37"/>
      <c r="AT808" s="37"/>
      <c r="AU808" s="37"/>
      <c r="AV808" s="37"/>
      <c r="AW808" s="37"/>
      <c r="AX808" s="37"/>
      <c r="AY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AX809" s="37"/>
      <c r="AY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AX810" s="37"/>
      <c r="AY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AX811" s="37"/>
      <c r="AY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  <c r="AR812" s="37"/>
      <c r="AS812" s="37"/>
      <c r="AT812" s="37"/>
      <c r="AU812" s="37"/>
      <c r="AV812" s="37"/>
      <c r="AW812" s="37"/>
      <c r="AX812" s="37"/>
      <c r="AY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  <c r="AR813" s="37"/>
      <c r="AS813" s="37"/>
      <c r="AT813" s="37"/>
      <c r="AU813" s="37"/>
      <c r="AV813" s="37"/>
      <c r="AW813" s="37"/>
      <c r="AX813" s="37"/>
      <c r="AY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  <c r="AR814" s="37"/>
      <c r="AS814" s="37"/>
      <c r="AT814" s="37"/>
      <c r="AU814" s="37"/>
      <c r="AV814" s="37"/>
      <c r="AW814" s="37"/>
      <c r="AX814" s="37"/>
      <c r="AY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  <c r="AU815" s="37"/>
      <c r="AV815" s="37"/>
      <c r="AW815" s="37"/>
      <c r="AX815" s="37"/>
      <c r="AY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  <c r="AR816" s="37"/>
      <c r="AS816" s="37"/>
      <c r="AT816" s="37"/>
      <c r="AU816" s="37"/>
      <c r="AV816" s="37"/>
      <c r="AW816" s="37"/>
      <c r="AX816" s="37"/>
      <c r="AY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37"/>
      <c r="AU817" s="37"/>
      <c r="AV817" s="37"/>
      <c r="AW817" s="37"/>
      <c r="AX817" s="37"/>
      <c r="AY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  <c r="AR818" s="37"/>
      <c r="AS818" s="37"/>
      <c r="AT818" s="37"/>
      <c r="AU818" s="37"/>
      <c r="AV818" s="37"/>
      <c r="AW818" s="37"/>
      <c r="AX818" s="37"/>
      <c r="AY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  <c r="AR819" s="37"/>
      <c r="AS819" s="37"/>
      <c r="AT819" s="37"/>
      <c r="AU819" s="37"/>
      <c r="AV819" s="37"/>
      <c r="AW819" s="37"/>
      <c r="AX819" s="37"/>
      <c r="AY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  <c r="AR820" s="37"/>
      <c r="AS820" s="37"/>
      <c r="AT820" s="37"/>
      <c r="AU820" s="37"/>
      <c r="AV820" s="37"/>
      <c r="AW820" s="37"/>
      <c r="AX820" s="37"/>
      <c r="AY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  <c r="AU821" s="37"/>
      <c r="AV821" s="37"/>
      <c r="AW821" s="37"/>
      <c r="AX821" s="37"/>
      <c r="AY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  <c r="AR822" s="37"/>
      <c r="AS822" s="37"/>
      <c r="AT822" s="37"/>
      <c r="AU822" s="37"/>
      <c r="AV822" s="37"/>
      <c r="AW822" s="37"/>
      <c r="AX822" s="37"/>
      <c r="AY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  <c r="AR823" s="37"/>
      <c r="AS823" s="37"/>
      <c r="AT823" s="37"/>
      <c r="AU823" s="37"/>
      <c r="AV823" s="37"/>
      <c r="AW823" s="37"/>
      <c r="AX823" s="37"/>
      <c r="AY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  <c r="AR824" s="37"/>
      <c r="AS824" s="37"/>
      <c r="AT824" s="37"/>
      <c r="AU824" s="37"/>
      <c r="AV824" s="37"/>
      <c r="AW824" s="37"/>
      <c r="AX824" s="37"/>
      <c r="AY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  <c r="AR825" s="37"/>
      <c r="AS825" s="37"/>
      <c r="AT825" s="37"/>
      <c r="AU825" s="37"/>
      <c r="AV825" s="37"/>
      <c r="AW825" s="37"/>
      <c r="AX825" s="37"/>
      <c r="AY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  <c r="AU826" s="37"/>
      <c r="AV826" s="37"/>
      <c r="AW826" s="37"/>
      <c r="AX826" s="37"/>
      <c r="AY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AX827" s="37"/>
      <c r="AY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  <c r="AU828" s="37"/>
      <c r="AV828" s="37"/>
      <c r="AW828" s="37"/>
      <c r="AX828" s="37"/>
      <c r="AY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  <c r="AR829" s="37"/>
      <c r="AS829" s="37"/>
      <c r="AT829" s="37"/>
      <c r="AU829" s="37"/>
      <c r="AV829" s="37"/>
      <c r="AW829" s="37"/>
      <c r="AX829" s="37"/>
      <c r="AY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  <c r="AU830" s="37"/>
      <c r="AV830" s="37"/>
      <c r="AW830" s="37"/>
      <c r="AX830" s="37"/>
      <c r="AY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  <c r="AR831" s="37"/>
      <c r="AS831" s="37"/>
      <c r="AT831" s="37"/>
      <c r="AU831" s="37"/>
      <c r="AV831" s="37"/>
      <c r="AW831" s="37"/>
      <c r="AX831" s="37"/>
      <c r="AY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AX832" s="37"/>
      <c r="AY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  <c r="AQ833" s="37"/>
      <c r="AR833" s="37"/>
      <c r="AS833" s="37"/>
      <c r="AT833" s="37"/>
      <c r="AU833" s="37"/>
      <c r="AV833" s="37"/>
      <c r="AW833" s="37"/>
      <c r="AX833" s="37"/>
      <c r="AY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  <c r="AU834" s="37"/>
      <c r="AV834" s="37"/>
      <c r="AW834" s="37"/>
      <c r="AX834" s="37"/>
      <c r="AY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AX835" s="37"/>
      <c r="AY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AX836" s="37"/>
      <c r="AY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/>
      <c r="AT837" s="37"/>
      <c r="AU837" s="37"/>
      <c r="AV837" s="37"/>
      <c r="AW837" s="37"/>
      <c r="AX837" s="37"/>
      <c r="AY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  <c r="AR838" s="37"/>
      <c r="AS838" s="37"/>
      <c r="AT838" s="37"/>
      <c r="AU838" s="37"/>
      <c r="AV838" s="37"/>
      <c r="AW838" s="37"/>
      <c r="AX838" s="37"/>
      <c r="AY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  <c r="AU839" s="37"/>
      <c r="AV839" s="37"/>
      <c r="AW839" s="37"/>
      <c r="AX839" s="37"/>
      <c r="AY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  <c r="AR840" s="37"/>
      <c r="AS840" s="37"/>
      <c r="AT840" s="37"/>
      <c r="AU840" s="37"/>
      <c r="AV840" s="37"/>
      <c r="AW840" s="37"/>
      <c r="AX840" s="37"/>
      <c r="AY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  <c r="AR841" s="37"/>
      <c r="AS841" s="37"/>
      <c r="AT841" s="37"/>
      <c r="AU841" s="37"/>
      <c r="AV841" s="37"/>
      <c r="AW841" s="37"/>
      <c r="AX841" s="37"/>
      <c r="AY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AX842" s="37"/>
      <c r="AY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  <c r="AR843" s="37"/>
      <c r="AS843" s="37"/>
      <c r="AT843" s="37"/>
      <c r="AU843" s="37"/>
      <c r="AV843" s="37"/>
      <c r="AW843" s="37"/>
      <c r="AX843" s="37"/>
      <c r="AY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  <c r="AR844" s="37"/>
      <c r="AS844" s="37"/>
      <c r="AT844" s="37"/>
      <c r="AU844" s="37"/>
      <c r="AV844" s="37"/>
      <c r="AW844" s="37"/>
      <c r="AX844" s="37"/>
      <c r="AY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AX845" s="37"/>
      <c r="AY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  <c r="AR846" s="37"/>
      <c r="AS846" s="37"/>
      <c r="AT846" s="37"/>
      <c r="AU846" s="37"/>
      <c r="AV846" s="37"/>
      <c r="AW846" s="37"/>
      <c r="AX846" s="37"/>
      <c r="AY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  <c r="AR847" s="37"/>
      <c r="AS847" s="37"/>
      <c r="AT847" s="37"/>
      <c r="AU847" s="37"/>
      <c r="AV847" s="37"/>
      <c r="AW847" s="37"/>
      <c r="AX847" s="37"/>
      <c r="AY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  <c r="AR848" s="37"/>
      <c r="AS848" s="37"/>
      <c r="AT848" s="37"/>
      <c r="AU848" s="37"/>
      <c r="AV848" s="37"/>
      <c r="AW848" s="37"/>
      <c r="AX848" s="37"/>
      <c r="AY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  <c r="AR849" s="37"/>
      <c r="AS849" s="37"/>
      <c r="AT849" s="37"/>
      <c r="AU849" s="37"/>
      <c r="AV849" s="37"/>
      <c r="AW849" s="37"/>
      <c r="AX849" s="37"/>
      <c r="AY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  <c r="AR850" s="37"/>
      <c r="AS850" s="37"/>
      <c r="AT850" s="37"/>
      <c r="AU850" s="37"/>
      <c r="AV850" s="37"/>
      <c r="AW850" s="37"/>
      <c r="AX850" s="37"/>
      <c r="AY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  <c r="AR851" s="37"/>
      <c r="AS851" s="37"/>
      <c r="AT851" s="37"/>
      <c r="AU851" s="37"/>
      <c r="AV851" s="37"/>
      <c r="AW851" s="37"/>
      <c r="AX851" s="37"/>
      <c r="AY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  <c r="AR852" s="37"/>
      <c r="AS852" s="37"/>
      <c r="AT852" s="37"/>
      <c r="AU852" s="37"/>
      <c r="AV852" s="37"/>
      <c r="AW852" s="37"/>
      <c r="AX852" s="37"/>
      <c r="AY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AX853" s="37"/>
      <c r="AY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  <c r="AU854" s="37"/>
      <c r="AV854" s="37"/>
      <c r="AW854" s="37"/>
      <c r="AX854" s="37"/>
      <c r="AY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  <c r="AR855" s="37"/>
      <c r="AS855" s="37"/>
      <c r="AT855" s="37"/>
      <c r="AU855" s="37"/>
      <c r="AV855" s="37"/>
      <c r="AW855" s="37"/>
      <c r="AX855" s="37"/>
      <c r="AY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  <c r="AR856" s="37"/>
      <c r="AS856" s="37"/>
      <c r="AT856" s="37"/>
      <c r="AU856" s="37"/>
      <c r="AV856" s="37"/>
      <c r="AW856" s="37"/>
      <c r="AX856" s="37"/>
      <c r="AY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7"/>
      <c r="AY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AX858" s="37"/>
      <c r="AY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  <c r="AU859" s="37"/>
      <c r="AV859" s="37"/>
      <c r="AW859" s="37"/>
      <c r="AX859" s="37"/>
      <c r="AY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  <c r="AU860" s="37"/>
      <c r="AV860" s="37"/>
      <c r="AW860" s="37"/>
      <c r="AX860" s="37"/>
      <c r="AY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AX861" s="37"/>
      <c r="AY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AX862" s="37"/>
      <c r="AY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AX863" s="37"/>
      <c r="AY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  <c r="AU864" s="37"/>
      <c r="AV864" s="37"/>
      <c r="AW864" s="37"/>
      <c r="AX864" s="37"/>
      <c r="AY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AX865" s="37"/>
      <c r="AY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AX866" s="37"/>
      <c r="AY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  <c r="AR867" s="37"/>
      <c r="AS867" s="37"/>
      <c r="AT867" s="37"/>
      <c r="AU867" s="37"/>
      <c r="AV867" s="37"/>
      <c r="AW867" s="37"/>
      <c r="AX867" s="37"/>
      <c r="AY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  <c r="AR868" s="37"/>
      <c r="AS868" s="37"/>
      <c r="AT868" s="37"/>
      <c r="AU868" s="37"/>
      <c r="AV868" s="37"/>
      <c r="AW868" s="37"/>
      <c r="AX868" s="37"/>
      <c r="AY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  <c r="AR869" s="37"/>
      <c r="AS869" s="37"/>
      <c r="AT869" s="37"/>
      <c r="AU869" s="37"/>
      <c r="AV869" s="37"/>
      <c r="AW869" s="37"/>
      <c r="AX869" s="37"/>
      <c r="AY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  <c r="AR870" s="37"/>
      <c r="AS870" s="37"/>
      <c r="AT870" s="37"/>
      <c r="AU870" s="37"/>
      <c r="AV870" s="37"/>
      <c r="AW870" s="37"/>
      <c r="AX870" s="37"/>
      <c r="AY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  <c r="AR871" s="37"/>
      <c r="AS871" s="37"/>
      <c r="AT871" s="37"/>
      <c r="AU871" s="37"/>
      <c r="AV871" s="37"/>
      <c r="AW871" s="37"/>
      <c r="AX871" s="37"/>
      <c r="AY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  <c r="AR872" s="37"/>
      <c r="AS872" s="37"/>
      <c r="AT872" s="37"/>
      <c r="AU872" s="37"/>
      <c r="AV872" s="37"/>
      <c r="AW872" s="37"/>
      <c r="AX872" s="37"/>
      <c r="AY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  <c r="AR873" s="37"/>
      <c r="AS873" s="37"/>
      <c r="AT873" s="37"/>
      <c r="AU873" s="37"/>
      <c r="AV873" s="37"/>
      <c r="AW873" s="37"/>
      <c r="AX873" s="37"/>
      <c r="AY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  <c r="AQ874" s="37"/>
      <c r="AR874" s="37"/>
      <c r="AS874" s="37"/>
      <c r="AT874" s="37"/>
      <c r="AU874" s="37"/>
      <c r="AV874" s="37"/>
      <c r="AW874" s="37"/>
      <c r="AX874" s="37"/>
      <c r="AY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  <c r="AR875" s="37"/>
      <c r="AS875" s="37"/>
      <c r="AT875" s="37"/>
      <c r="AU875" s="37"/>
      <c r="AV875" s="37"/>
      <c r="AW875" s="37"/>
      <c r="AX875" s="37"/>
      <c r="AY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  <c r="AR876" s="37"/>
      <c r="AS876" s="37"/>
      <c r="AT876" s="37"/>
      <c r="AU876" s="37"/>
      <c r="AV876" s="37"/>
      <c r="AW876" s="37"/>
      <c r="AX876" s="37"/>
      <c r="AY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  <c r="AR877" s="37"/>
      <c r="AS877" s="37"/>
      <c r="AT877" s="37"/>
      <c r="AU877" s="37"/>
      <c r="AV877" s="37"/>
      <c r="AW877" s="37"/>
      <c r="AX877" s="37"/>
      <c r="AY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  <c r="AR878" s="37"/>
      <c r="AS878" s="37"/>
      <c r="AT878" s="37"/>
      <c r="AU878" s="37"/>
      <c r="AV878" s="37"/>
      <c r="AW878" s="37"/>
      <c r="AX878" s="37"/>
      <c r="AY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AX879" s="37"/>
      <c r="AY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7"/>
      <c r="AY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  <c r="AR881" s="37"/>
      <c r="AS881" s="37"/>
      <c r="AT881" s="37"/>
      <c r="AU881" s="37"/>
      <c r="AV881" s="37"/>
      <c r="AW881" s="37"/>
      <c r="AX881" s="37"/>
      <c r="AY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  <c r="AR882" s="37"/>
      <c r="AS882" s="37"/>
      <c r="AT882" s="37"/>
      <c r="AU882" s="37"/>
      <c r="AV882" s="37"/>
      <c r="AW882" s="37"/>
      <c r="AX882" s="37"/>
      <c r="AY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/>
      <c r="AT883" s="37"/>
      <c r="AU883" s="37"/>
      <c r="AV883" s="37"/>
      <c r="AW883" s="37"/>
      <c r="AX883" s="37"/>
      <c r="AY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AX884" s="37"/>
      <c r="AY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  <c r="AR885" s="37"/>
      <c r="AS885" s="37"/>
      <c r="AT885" s="37"/>
      <c r="AU885" s="37"/>
      <c r="AV885" s="37"/>
      <c r="AW885" s="37"/>
      <c r="AX885" s="37"/>
      <c r="AY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  <c r="AR886" s="37"/>
      <c r="AS886" s="37"/>
      <c r="AT886" s="37"/>
      <c r="AU886" s="37"/>
      <c r="AV886" s="37"/>
      <c r="AW886" s="37"/>
      <c r="AX886" s="37"/>
      <c r="AY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  <c r="AU887" s="37"/>
      <c r="AV887" s="37"/>
      <c r="AW887" s="37"/>
      <c r="AX887" s="37"/>
      <c r="AY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AX888" s="37"/>
      <c r="AY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  <c r="AQ889" s="37"/>
      <c r="AR889" s="37"/>
      <c r="AS889" s="37"/>
      <c r="AT889" s="37"/>
      <c r="AU889" s="37"/>
      <c r="AV889" s="37"/>
      <c r="AW889" s="37"/>
      <c r="AX889" s="37"/>
      <c r="AY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  <c r="AQ890" s="37"/>
      <c r="AR890" s="37"/>
      <c r="AS890" s="37"/>
      <c r="AT890" s="37"/>
      <c r="AU890" s="37"/>
      <c r="AV890" s="37"/>
      <c r="AW890" s="37"/>
      <c r="AX890" s="37"/>
      <c r="AY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  <c r="AQ891" s="37"/>
      <c r="AR891" s="37"/>
      <c r="AS891" s="37"/>
      <c r="AT891" s="37"/>
      <c r="AU891" s="37"/>
      <c r="AV891" s="37"/>
      <c r="AW891" s="37"/>
      <c r="AX891" s="37"/>
      <c r="AY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  <c r="AQ892" s="37"/>
      <c r="AR892" s="37"/>
      <c r="AS892" s="37"/>
      <c r="AT892" s="37"/>
      <c r="AU892" s="37"/>
      <c r="AV892" s="37"/>
      <c r="AW892" s="37"/>
      <c r="AX892" s="37"/>
      <c r="AY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  <c r="AQ893" s="37"/>
      <c r="AR893" s="37"/>
      <c r="AS893" s="37"/>
      <c r="AT893" s="37"/>
      <c r="AU893" s="37"/>
      <c r="AV893" s="37"/>
      <c r="AW893" s="37"/>
      <c r="AX893" s="37"/>
      <c r="AY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  <c r="AQ894" s="37"/>
      <c r="AR894" s="37"/>
      <c r="AS894" s="37"/>
      <c r="AT894" s="37"/>
      <c r="AU894" s="37"/>
      <c r="AV894" s="37"/>
      <c r="AW894" s="37"/>
      <c r="AX894" s="37"/>
      <c r="AY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  <c r="AQ895" s="37"/>
      <c r="AR895" s="37"/>
      <c r="AS895" s="37"/>
      <c r="AT895" s="37"/>
      <c r="AU895" s="37"/>
      <c r="AV895" s="37"/>
      <c r="AW895" s="37"/>
      <c r="AX895" s="37"/>
      <c r="AY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  <c r="AQ896" s="37"/>
      <c r="AR896" s="37"/>
      <c r="AS896" s="37"/>
      <c r="AT896" s="37"/>
      <c r="AU896" s="37"/>
      <c r="AV896" s="37"/>
      <c r="AW896" s="37"/>
      <c r="AX896" s="37"/>
      <c r="AY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  <c r="AQ897" s="37"/>
      <c r="AR897" s="37"/>
      <c r="AS897" s="37"/>
      <c r="AT897" s="37"/>
      <c r="AU897" s="37"/>
      <c r="AV897" s="37"/>
      <c r="AW897" s="37"/>
      <c r="AX897" s="37"/>
      <c r="AY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  <c r="AQ898" s="37"/>
      <c r="AR898" s="37"/>
      <c r="AS898" s="37"/>
      <c r="AT898" s="37"/>
      <c r="AU898" s="37"/>
      <c r="AV898" s="37"/>
      <c r="AW898" s="37"/>
      <c r="AX898" s="37"/>
      <c r="AY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  <c r="AQ899" s="37"/>
      <c r="AR899" s="37"/>
      <c r="AS899" s="37"/>
      <c r="AT899" s="37"/>
      <c r="AU899" s="37"/>
      <c r="AV899" s="37"/>
      <c r="AW899" s="37"/>
      <c r="AX899" s="37"/>
      <c r="AY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7"/>
      <c r="AQ900" s="37"/>
      <c r="AR900" s="37"/>
      <c r="AS900" s="37"/>
      <c r="AT900" s="37"/>
      <c r="AU900" s="37"/>
      <c r="AV900" s="37"/>
      <c r="AW900" s="37"/>
      <c r="AX900" s="37"/>
      <c r="AY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  <c r="AQ901" s="37"/>
      <c r="AR901" s="37"/>
      <c r="AS901" s="37"/>
      <c r="AT901" s="37"/>
      <c r="AU901" s="37"/>
      <c r="AV901" s="37"/>
      <c r="AW901" s="37"/>
      <c r="AX901" s="37"/>
      <c r="AY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  <c r="AN902" s="37"/>
      <c r="AO902" s="37"/>
      <c r="AP902" s="37"/>
      <c r="AQ902" s="37"/>
      <c r="AR902" s="37"/>
      <c r="AS902" s="37"/>
      <c r="AT902" s="37"/>
      <c r="AU902" s="37"/>
      <c r="AV902" s="37"/>
      <c r="AW902" s="37"/>
      <c r="AX902" s="37"/>
      <c r="AY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  <c r="AN903" s="37"/>
      <c r="AO903" s="37"/>
      <c r="AP903" s="37"/>
      <c r="AQ903" s="37"/>
      <c r="AR903" s="37"/>
      <c r="AS903" s="37"/>
      <c r="AT903" s="37"/>
      <c r="AU903" s="37"/>
      <c r="AV903" s="37"/>
      <c r="AW903" s="37"/>
      <c r="AX903" s="37"/>
      <c r="AY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  <c r="AN904" s="37"/>
      <c r="AO904" s="37"/>
      <c r="AP904" s="37"/>
      <c r="AQ904" s="37"/>
      <c r="AR904" s="37"/>
      <c r="AS904" s="37"/>
      <c r="AT904" s="37"/>
      <c r="AU904" s="37"/>
      <c r="AV904" s="37"/>
      <c r="AW904" s="37"/>
      <c r="AX904" s="37"/>
      <c r="AY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  <c r="AQ905" s="37"/>
      <c r="AR905" s="37"/>
      <c r="AS905" s="37"/>
      <c r="AT905" s="37"/>
      <c r="AU905" s="37"/>
      <c r="AV905" s="37"/>
      <c r="AW905" s="37"/>
      <c r="AX905" s="37"/>
      <c r="AY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  <c r="AQ906" s="37"/>
      <c r="AR906" s="37"/>
      <c r="AS906" s="37"/>
      <c r="AT906" s="37"/>
      <c r="AU906" s="37"/>
      <c r="AV906" s="37"/>
      <c r="AW906" s="37"/>
      <c r="AX906" s="37"/>
      <c r="AY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  <c r="AN907" s="37"/>
      <c r="AO907" s="37"/>
      <c r="AP907" s="37"/>
      <c r="AQ907" s="37"/>
      <c r="AR907" s="37"/>
      <c r="AS907" s="37"/>
      <c r="AT907" s="37"/>
      <c r="AU907" s="37"/>
      <c r="AV907" s="37"/>
      <c r="AW907" s="37"/>
      <c r="AX907" s="37"/>
      <c r="AY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  <c r="AM908" s="37"/>
      <c r="AN908" s="37"/>
      <c r="AO908" s="37"/>
      <c r="AP908" s="37"/>
      <c r="AQ908" s="37"/>
      <c r="AR908" s="37"/>
      <c r="AS908" s="37"/>
      <c r="AT908" s="37"/>
      <c r="AU908" s="37"/>
      <c r="AV908" s="37"/>
      <c r="AW908" s="37"/>
      <c r="AX908" s="37"/>
      <c r="AY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  <c r="AM909" s="37"/>
      <c r="AN909" s="37"/>
      <c r="AO909" s="37"/>
      <c r="AP909" s="37"/>
      <c r="AQ909" s="37"/>
      <c r="AR909" s="37"/>
      <c r="AS909" s="37"/>
      <c r="AT909" s="37"/>
      <c r="AU909" s="37"/>
      <c r="AV909" s="37"/>
      <c r="AW909" s="37"/>
      <c r="AX909" s="37"/>
      <c r="AY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  <c r="AN910" s="37"/>
      <c r="AO910" s="37"/>
      <c r="AP910" s="37"/>
      <c r="AQ910" s="37"/>
      <c r="AR910" s="37"/>
      <c r="AS910" s="37"/>
      <c r="AT910" s="37"/>
      <c r="AU910" s="37"/>
      <c r="AV910" s="37"/>
      <c r="AW910" s="37"/>
      <c r="AX910" s="37"/>
      <c r="AY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  <c r="AM911" s="37"/>
      <c r="AN911" s="37"/>
      <c r="AO911" s="37"/>
      <c r="AP911" s="37"/>
      <c r="AQ911" s="37"/>
      <c r="AR911" s="37"/>
      <c r="AS911" s="37"/>
      <c r="AT911" s="37"/>
      <c r="AU911" s="37"/>
      <c r="AV911" s="37"/>
      <c r="AW911" s="37"/>
      <c r="AX911" s="37"/>
      <c r="AY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  <c r="AM912" s="37"/>
      <c r="AN912" s="37"/>
      <c r="AO912" s="37"/>
      <c r="AP912" s="37"/>
      <c r="AQ912" s="37"/>
      <c r="AR912" s="37"/>
      <c r="AS912" s="37"/>
      <c r="AT912" s="37"/>
      <c r="AU912" s="37"/>
      <c r="AV912" s="37"/>
      <c r="AW912" s="37"/>
      <c r="AX912" s="37"/>
      <c r="AY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  <c r="AN913" s="37"/>
      <c r="AO913" s="37"/>
      <c r="AP913" s="37"/>
      <c r="AQ913" s="37"/>
      <c r="AR913" s="37"/>
      <c r="AS913" s="37"/>
      <c r="AT913" s="37"/>
      <c r="AU913" s="37"/>
      <c r="AV913" s="37"/>
      <c r="AW913" s="37"/>
      <c r="AX913" s="37"/>
      <c r="AY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  <c r="AQ914" s="37"/>
      <c r="AR914" s="37"/>
      <c r="AS914" s="37"/>
      <c r="AT914" s="37"/>
      <c r="AU914" s="37"/>
      <c r="AV914" s="37"/>
      <c r="AW914" s="37"/>
      <c r="AX914" s="37"/>
      <c r="AY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  <c r="AN915" s="37"/>
      <c r="AO915" s="37"/>
      <c r="AP915" s="37"/>
      <c r="AQ915" s="37"/>
      <c r="AR915" s="37"/>
      <c r="AS915" s="37"/>
      <c r="AT915" s="37"/>
      <c r="AU915" s="37"/>
      <c r="AV915" s="37"/>
      <c r="AW915" s="37"/>
      <c r="AX915" s="37"/>
      <c r="AY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  <c r="AM916" s="37"/>
      <c r="AN916" s="37"/>
      <c r="AO916" s="37"/>
      <c r="AP916" s="37"/>
      <c r="AQ916" s="37"/>
      <c r="AR916" s="37"/>
      <c r="AS916" s="37"/>
      <c r="AT916" s="37"/>
      <c r="AU916" s="37"/>
      <c r="AV916" s="37"/>
      <c r="AW916" s="37"/>
      <c r="AX916" s="37"/>
      <c r="AY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  <c r="AM917" s="37"/>
      <c r="AN917" s="37"/>
      <c r="AO917" s="37"/>
      <c r="AP917" s="37"/>
      <c r="AQ917" s="37"/>
      <c r="AR917" s="37"/>
      <c r="AS917" s="37"/>
      <c r="AT917" s="37"/>
      <c r="AU917" s="37"/>
      <c r="AV917" s="37"/>
      <c r="AW917" s="37"/>
      <c r="AX917" s="37"/>
      <c r="AY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  <c r="AM918" s="37"/>
      <c r="AN918" s="37"/>
      <c r="AO918" s="37"/>
      <c r="AP918" s="37"/>
      <c r="AQ918" s="37"/>
      <c r="AR918" s="37"/>
      <c r="AS918" s="37"/>
      <c r="AT918" s="37"/>
      <c r="AU918" s="37"/>
      <c r="AV918" s="37"/>
      <c r="AW918" s="37"/>
      <c r="AX918" s="37"/>
      <c r="AY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  <c r="AM919" s="37"/>
      <c r="AN919" s="37"/>
      <c r="AO919" s="37"/>
      <c r="AP919" s="37"/>
      <c r="AQ919" s="37"/>
      <c r="AR919" s="37"/>
      <c r="AS919" s="37"/>
      <c r="AT919" s="37"/>
      <c r="AU919" s="37"/>
      <c r="AV919" s="37"/>
      <c r="AW919" s="37"/>
      <c r="AX919" s="37"/>
      <c r="AY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  <c r="AM920" s="37"/>
      <c r="AN920" s="37"/>
      <c r="AO920" s="37"/>
      <c r="AP920" s="37"/>
      <c r="AQ920" s="37"/>
      <c r="AR920" s="37"/>
      <c r="AS920" s="37"/>
      <c r="AT920" s="37"/>
      <c r="AU920" s="37"/>
      <c r="AV920" s="37"/>
      <c r="AW920" s="37"/>
      <c r="AX920" s="37"/>
      <c r="AY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  <c r="AN921" s="37"/>
      <c r="AO921" s="37"/>
      <c r="AP921" s="37"/>
      <c r="AQ921" s="37"/>
      <c r="AR921" s="37"/>
      <c r="AS921" s="37"/>
      <c r="AT921" s="37"/>
      <c r="AU921" s="37"/>
      <c r="AV921" s="37"/>
      <c r="AW921" s="37"/>
      <c r="AX921" s="37"/>
      <c r="AY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  <c r="AM922" s="37"/>
      <c r="AN922" s="37"/>
      <c r="AO922" s="37"/>
      <c r="AP922" s="37"/>
      <c r="AQ922" s="37"/>
      <c r="AR922" s="37"/>
      <c r="AS922" s="37"/>
      <c r="AT922" s="37"/>
      <c r="AU922" s="37"/>
      <c r="AV922" s="37"/>
      <c r="AW922" s="37"/>
      <c r="AX922" s="37"/>
      <c r="AY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  <c r="AM923" s="37"/>
      <c r="AN923" s="37"/>
      <c r="AO923" s="37"/>
      <c r="AP923" s="37"/>
      <c r="AQ923" s="37"/>
      <c r="AR923" s="37"/>
      <c r="AS923" s="37"/>
      <c r="AT923" s="37"/>
      <c r="AU923" s="37"/>
      <c r="AV923" s="37"/>
      <c r="AW923" s="37"/>
      <c r="AX923" s="37"/>
      <c r="AY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  <c r="AM924" s="37"/>
      <c r="AN924" s="37"/>
      <c r="AO924" s="37"/>
      <c r="AP924" s="37"/>
      <c r="AQ924" s="37"/>
      <c r="AR924" s="37"/>
      <c r="AS924" s="37"/>
      <c r="AT924" s="37"/>
      <c r="AU924" s="37"/>
      <c r="AV924" s="37"/>
      <c r="AW924" s="37"/>
      <c r="AX924" s="37"/>
      <c r="AY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  <c r="AM925" s="37"/>
      <c r="AN925" s="37"/>
      <c r="AO925" s="37"/>
      <c r="AP925" s="37"/>
      <c r="AQ925" s="37"/>
      <c r="AR925" s="37"/>
      <c r="AS925" s="37"/>
      <c r="AT925" s="37"/>
      <c r="AU925" s="37"/>
      <c r="AV925" s="37"/>
      <c r="AW925" s="37"/>
      <c r="AX925" s="37"/>
      <c r="AY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  <c r="AN926" s="37"/>
      <c r="AO926" s="37"/>
      <c r="AP926" s="37"/>
      <c r="AQ926" s="37"/>
      <c r="AR926" s="37"/>
      <c r="AS926" s="37"/>
      <c r="AT926" s="37"/>
      <c r="AU926" s="37"/>
      <c r="AV926" s="37"/>
      <c r="AW926" s="37"/>
      <c r="AX926" s="37"/>
      <c r="AY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  <c r="AN927" s="37"/>
      <c r="AO927" s="37"/>
      <c r="AP927" s="37"/>
      <c r="AQ927" s="37"/>
      <c r="AR927" s="37"/>
      <c r="AS927" s="37"/>
      <c r="AT927" s="37"/>
      <c r="AU927" s="37"/>
      <c r="AV927" s="37"/>
      <c r="AW927" s="37"/>
      <c r="AX927" s="37"/>
      <c r="AY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  <c r="AM928" s="37"/>
      <c r="AN928" s="37"/>
      <c r="AO928" s="37"/>
      <c r="AP928" s="37"/>
      <c r="AQ928" s="37"/>
      <c r="AR928" s="37"/>
      <c r="AS928" s="37"/>
      <c r="AT928" s="37"/>
      <c r="AU928" s="37"/>
      <c r="AV928" s="37"/>
      <c r="AW928" s="37"/>
      <c r="AX928" s="37"/>
      <c r="AY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  <c r="AM929" s="37"/>
      <c r="AN929" s="37"/>
      <c r="AO929" s="37"/>
      <c r="AP929" s="37"/>
      <c r="AQ929" s="37"/>
      <c r="AR929" s="37"/>
      <c r="AS929" s="37"/>
      <c r="AT929" s="37"/>
      <c r="AU929" s="37"/>
      <c r="AV929" s="37"/>
      <c r="AW929" s="37"/>
      <c r="AX929" s="37"/>
      <c r="AY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  <c r="AM930" s="37"/>
      <c r="AN930" s="37"/>
      <c r="AO930" s="37"/>
      <c r="AP930" s="37"/>
      <c r="AQ930" s="37"/>
      <c r="AR930" s="37"/>
      <c r="AS930" s="37"/>
      <c r="AT930" s="37"/>
      <c r="AU930" s="37"/>
      <c r="AV930" s="37"/>
      <c r="AW930" s="37"/>
      <c r="AX930" s="37"/>
      <c r="AY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  <c r="AN931" s="37"/>
      <c r="AO931" s="37"/>
      <c r="AP931" s="37"/>
      <c r="AQ931" s="37"/>
      <c r="AR931" s="37"/>
      <c r="AS931" s="37"/>
      <c r="AT931" s="37"/>
      <c r="AU931" s="37"/>
      <c r="AV931" s="37"/>
      <c r="AW931" s="37"/>
      <c r="AX931" s="37"/>
      <c r="AY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  <c r="AN932" s="37"/>
      <c r="AO932" s="37"/>
      <c r="AP932" s="37"/>
      <c r="AQ932" s="37"/>
      <c r="AR932" s="37"/>
      <c r="AS932" s="37"/>
      <c r="AT932" s="37"/>
      <c r="AU932" s="37"/>
      <c r="AV932" s="37"/>
      <c r="AW932" s="37"/>
      <c r="AX932" s="37"/>
      <c r="AY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  <c r="AM933" s="37"/>
      <c r="AN933" s="37"/>
      <c r="AO933" s="37"/>
      <c r="AP933" s="37"/>
      <c r="AQ933" s="37"/>
      <c r="AR933" s="37"/>
      <c r="AS933" s="37"/>
      <c r="AT933" s="37"/>
      <c r="AU933" s="37"/>
      <c r="AV933" s="37"/>
      <c r="AW933" s="37"/>
      <c r="AX933" s="37"/>
      <c r="AY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  <c r="AM934" s="37"/>
      <c r="AN934" s="37"/>
      <c r="AO934" s="37"/>
      <c r="AP934" s="37"/>
      <c r="AQ934" s="37"/>
      <c r="AR934" s="37"/>
      <c r="AS934" s="37"/>
      <c r="AT934" s="37"/>
      <c r="AU934" s="37"/>
      <c r="AV934" s="37"/>
      <c r="AW934" s="37"/>
      <c r="AX934" s="37"/>
      <c r="AY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  <c r="AM935" s="37"/>
      <c r="AN935" s="37"/>
      <c r="AO935" s="37"/>
      <c r="AP935" s="37"/>
      <c r="AQ935" s="37"/>
      <c r="AR935" s="37"/>
      <c r="AS935" s="37"/>
      <c r="AT935" s="37"/>
      <c r="AU935" s="37"/>
      <c r="AV935" s="37"/>
      <c r="AW935" s="37"/>
      <c r="AX935" s="37"/>
      <c r="AY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  <c r="AN936" s="37"/>
      <c r="AO936" s="37"/>
      <c r="AP936" s="37"/>
      <c r="AQ936" s="37"/>
      <c r="AR936" s="37"/>
      <c r="AS936" s="37"/>
      <c r="AT936" s="37"/>
      <c r="AU936" s="37"/>
      <c r="AV936" s="37"/>
      <c r="AW936" s="37"/>
      <c r="AX936" s="37"/>
      <c r="AY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  <c r="AN937" s="37"/>
      <c r="AO937" s="37"/>
      <c r="AP937" s="37"/>
      <c r="AQ937" s="37"/>
      <c r="AR937" s="37"/>
      <c r="AS937" s="37"/>
      <c r="AT937" s="37"/>
      <c r="AU937" s="37"/>
      <c r="AV937" s="37"/>
      <c r="AW937" s="37"/>
      <c r="AX937" s="37"/>
      <c r="AY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7"/>
      <c r="AN938" s="37"/>
      <c r="AO938" s="37"/>
      <c r="AP938" s="37"/>
      <c r="AQ938" s="37"/>
      <c r="AR938" s="37"/>
      <c r="AS938" s="37"/>
      <c r="AT938" s="37"/>
      <c r="AU938" s="37"/>
      <c r="AV938" s="37"/>
      <c r="AW938" s="37"/>
      <c r="AX938" s="37"/>
      <c r="AY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  <c r="AN939" s="37"/>
      <c r="AO939" s="37"/>
      <c r="AP939" s="37"/>
      <c r="AQ939" s="37"/>
      <c r="AR939" s="37"/>
      <c r="AS939" s="37"/>
      <c r="AT939" s="37"/>
      <c r="AU939" s="37"/>
      <c r="AV939" s="37"/>
      <c r="AW939" s="37"/>
      <c r="AX939" s="37"/>
      <c r="AY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  <c r="AM940" s="37"/>
      <c r="AN940" s="37"/>
      <c r="AO940" s="37"/>
      <c r="AP940" s="37"/>
      <c r="AQ940" s="37"/>
      <c r="AR940" s="37"/>
      <c r="AS940" s="37"/>
      <c r="AT940" s="37"/>
      <c r="AU940" s="37"/>
      <c r="AV940" s="37"/>
      <c r="AW940" s="37"/>
      <c r="AX940" s="37"/>
      <c r="AY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  <c r="AM941" s="37"/>
      <c r="AN941" s="37"/>
      <c r="AO941" s="37"/>
      <c r="AP941" s="37"/>
      <c r="AQ941" s="37"/>
      <c r="AR941" s="37"/>
      <c r="AS941" s="37"/>
      <c r="AT941" s="37"/>
      <c r="AU941" s="37"/>
      <c r="AV941" s="37"/>
      <c r="AW941" s="37"/>
      <c r="AX941" s="37"/>
      <c r="AY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  <c r="AM942" s="37"/>
      <c r="AN942" s="37"/>
      <c r="AO942" s="37"/>
      <c r="AP942" s="37"/>
      <c r="AQ942" s="37"/>
      <c r="AR942" s="37"/>
      <c r="AS942" s="37"/>
      <c r="AT942" s="37"/>
      <c r="AU942" s="37"/>
      <c r="AV942" s="37"/>
      <c r="AW942" s="37"/>
      <c r="AX942" s="37"/>
      <c r="AY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  <c r="AM943" s="37"/>
      <c r="AN943" s="37"/>
      <c r="AO943" s="37"/>
      <c r="AP943" s="37"/>
      <c r="AQ943" s="37"/>
      <c r="AR943" s="37"/>
      <c r="AS943" s="37"/>
      <c r="AT943" s="37"/>
      <c r="AU943" s="37"/>
      <c r="AV943" s="37"/>
      <c r="AW943" s="37"/>
      <c r="AX943" s="37"/>
      <c r="AY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  <c r="AN944" s="37"/>
      <c r="AO944" s="37"/>
      <c r="AP944" s="37"/>
      <c r="AQ944" s="37"/>
      <c r="AR944" s="37"/>
      <c r="AS944" s="37"/>
      <c r="AT944" s="37"/>
      <c r="AU944" s="37"/>
      <c r="AV944" s="37"/>
      <c r="AW944" s="37"/>
      <c r="AX944" s="37"/>
      <c r="AY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  <c r="AM945" s="37"/>
      <c r="AN945" s="37"/>
      <c r="AO945" s="37"/>
      <c r="AP945" s="37"/>
      <c r="AQ945" s="37"/>
      <c r="AR945" s="37"/>
      <c r="AS945" s="37"/>
      <c r="AT945" s="37"/>
      <c r="AU945" s="37"/>
      <c r="AV945" s="37"/>
      <c r="AW945" s="37"/>
      <c r="AX945" s="37"/>
      <c r="AY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  <c r="AM946" s="37"/>
      <c r="AN946" s="37"/>
      <c r="AO946" s="37"/>
      <c r="AP946" s="37"/>
      <c r="AQ946" s="37"/>
      <c r="AR946" s="37"/>
      <c r="AS946" s="37"/>
      <c r="AT946" s="37"/>
      <c r="AU946" s="37"/>
      <c r="AV946" s="37"/>
      <c r="AW946" s="37"/>
      <c r="AX946" s="37"/>
      <c r="AY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  <c r="AN947" s="37"/>
      <c r="AO947" s="37"/>
      <c r="AP947" s="37"/>
      <c r="AQ947" s="37"/>
      <c r="AR947" s="37"/>
      <c r="AS947" s="37"/>
      <c r="AT947" s="37"/>
      <c r="AU947" s="37"/>
      <c r="AV947" s="37"/>
      <c r="AW947" s="37"/>
      <c r="AX947" s="37"/>
      <c r="AY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  <c r="AM948" s="37"/>
      <c r="AN948" s="37"/>
      <c r="AO948" s="37"/>
      <c r="AP948" s="37"/>
      <c r="AQ948" s="37"/>
      <c r="AR948" s="37"/>
      <c r="AS948" s="37"/>
      <c r="AT948" s="37"/>
      <c r="AU948" s="37"/>
      <c r="AV948" s="37"/>
      <c r="AW948" s="37"/>
      <c r="AX948" s="37"/>
      <c r="AY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  <c r="AM949" s="37"/>
      <c r="AN949" s="37"/>
      <c r="AO949" s="37"/>
      <c r="AP949" s="37"/>
      <c r="AQ949" s="37"/>
      <c r="AR949" s="37"/>
      <c r="AS949" s="37"/>
      <c r="AT949" s="37"/>
      <c r="AU949" s="37"/>
      <c r="AV949" s="37"/>
      <c r="AW949" s="37"/>
      <c r="AX949" s="37"/>
      <c r="AY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  <c r="AM950" s="37"/>
      <c r="AN950" s="37"/>
      <c r="AO950" s="37"/>
      <c r="AP950" s="37"/>
      <c r="AQ950" s="37"/>
      <c r="AR950" s="37"/>
      <c r="AS950" s="37"/>
      <c r="AT950" s="37"/>
      <c r="AU950" s="37"/>
      <c r="AV950" s="37"/>
      <c r="AW950" s="37"/>
      <c r="AX950" s="37"/>
      <c r="AY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  <c r="AM951" s="37"/>
      <c r="AN951" s="37"/>
      <c r="AO951" s="37"/>
      <c r="AP951" s="37"/>
      <c r="AQ951" s="37"/>
      <c r="AR951" s="37"/>
      <c r="AS951" s="37"/>
      <c r="AT951" s="37"/>
      <c r="AU951" s="37"/>
      <c r="AV951" s="37"/>
      <c r="AW951" s="37"/>
      <c r="AX951" s="37"/>
      <c r="AY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  <c r="AM952" s="37"/>
      <c r="AN952" s="37"/>
      <c r="AO952" s="37"/>
      <c r="AP952" s="37"/>
      <c r="AQ952" s="37"/>
      <c r="AR952" s="37"/>
      <c r="AS952" s="37"/>
      <c r="AT952" s="37"/>
      <c r="AU952" s="37"/>
      <c r="AV952" s="37"/>
      <c r="AW952" s="37"/>
      <c r="AX952" s="37"/>
      <c r="AY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  <c r="AM953" s="37"/>
      <c r="AN953" s="37"/>
      <c r="AO953" s="37"/>
      <c r="AP953" s="37"/>
      <c r="AQ953" s="37"/>
      <c r="AR953" s="37"/>
      <c r="AS953" s="37"/>
      <c r="AT953" s="37"/>
      <c r="AU953" s="37"/>
      <c r="AV953" s="37"/>
      <c r="AW953" s="37"/>
      <c r="AX953" s="37"/>
      <c r="AY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  <c r="AM954" s="37"/>
      <c r="AN954" s="37"/>
      <c r="AO954" s="37"/>
      <c r="AP954" s="37"/>
      <c r="AQ954" s="37"/>
      <c r="AR954" s="37"/>
      <c r="AS954" s="37"/>
      <c r="AT954" s="37"/>
      <c r="AU954" s="37"/>
      <c r="AV954" s="37"/>
      <c r="AW954" s="37"/>
      <c r="AX954" s="37"/>
      <c r="AY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  <c r="AM955" s="37"/>
      <c r="AN955" s="37"/>
      <c r="AO955" s="37"/>
      <c r="AP955" s="37"/>
      <c r="AQ955" s="37"/>
      <c r="AR955" s="37"/>
      <c r="AS955" s="37"/>
      <c r="AT955" s="37"/>
      <c r="AU955" s="37"/>
      <c r="AV955" s="37"/>
      <c r="AW955" s="37"/>
      <c r="AX955" s="37"/>
      <c r="AY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  <c r="AN956" s="37"/>
      <c r="AO956" s="37"/>
      <c r="AP956" s="37"/>
      <c r="AQ956" s="37"/>
      <c r="AR956" s="37"/>
      <c r="AS956" s="37"/>
      <c r="AT956" s="37"/>
      <c r="AU956" s="37"/>
      <c r="AV956" s="37"/>
      <c r="AW956" s="37"/>
      <c r="AX956" s="37"/>
      <c r="AY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  <c r="AM957" s="37"/>
      <c r="AN957" s="37"/>
      <c r="AO957" s="37"/>
      <c r="AP957" s="37"/>
      <c r="AQ957" s="37"/>
      <c r="AR957" s="37"/>
      <c r="AS957" s="37"/>
      <c r="AT957" s="37"/>
      <c r="AU957" s="37"/>
      <c r="AV957" s="37"/>
      <c r="AW957" s="37"/>
      <c r="AX957" s="37"/>
      <c r="AY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  <c r="AM958" s="37"/>
      <c r="AN958" s="37"/>
      <c r="AO958" s="37"/>
      <c r="AP958" s="37"/>
      <c r="AQ958" s="37"/>
      <c r="AR958" s="37"/>
      <c r="AS958" s="37"/>
      <c r="AT958" s="37"/>
      <c r="AU958" s="37"/>
      <c r="AV958" s="37"/>
      <c r="AW958" s="37"/>
      <c r="AX958" s="37"/>
      <c r="AY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  <c r="AM959" s="37"/>
      <c r="AN959" s="37"/>
      <c r="AO959" s="37"/>
      <c r="AP959" s="37"/>
      <c r="AQ959" s="37"/>
      <c r="AR959" s="37"/>
      <c r="AS959" s="37"/>
      <c r="AT959" s="37"/>
      <c r="AU959" s="37"/>
      <c r="AV959" s="37"/>
      <c r="AW959" s="37"/>
      <c r="AX959" s="37"/>
      <c r="AY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  <c r="AM960" s="37"/>
      <c r="AN960" s="37"/>
      <c r="AO960" s="37"/>
      <c r="AP960" s="37"/>
      <c r="AQ960" s="37"/>
      <c r="AR960" s="37"/>
      <c r="AS960" s="37"/>
      <c r="AT960" s="37"/>
      <c r="AU960" s="37"/>
      <c r="AV960" s="37"/>
      <c r="AW960" s="37"/>
      <c r="AX960" s="37"/>
      <c r="AY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  <c r="AM961" s="37"/>
      <c r="AN961" s="37"/>
      <c r="AO961" s="37"/>
      <c r="AP961" s="37"/>
      <c r="AQ961" s="37"/>
      <c r="AR961" s="37"/>
      <c r="AS961" s="37"/>
      <c r="AT961" s="37"/>
      <c r="AU961" s="37"/>
      <c r="AV961" s="37"/>
      <c r="AW961" s="37"/>
      <c r="AX961" s="37"/>
      <c r="AY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  <c r="AN962" s="37"/>
      <c r="AO962" s="37"/>
      <c r="AP962" s="37"/>
      <c r="AQ962" s="37"/>
      <c r="AR962" s="37"/>
      <c r="AS962" s="37"/>
      <c r="AT962" s="37"/>
      <c r="AU962" s="37"/>
      <c r="AV962" s="37"/>
      <c r="AW962" s="37"/>
      <c r="AX962" s="37"/>
      <c r="AY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  <c r="AM963" s="37"/>
      <c r="AN963" s="37"/>
      <c r="AO963" s="37"/>
      <c r="AP963" s="37"/>
      <c r="AQ963" s="37"/>
      <c r="AR963" s="37"/>
      <c r="AS963" s="37"/>
      <c r="AT963" s="37"/>
      <c r="AU963" s="37"/>
      <c r="AV963" s="37"/>
      <c r="AW963" s="37"/>
      <c r="AX963" s="37"/>
      <c r="AY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  <c r="AM964" s="37"/>
      <c r="AN964" s="37"/>
      <c r="AO964" s="37"/>
      <c r="AP964" s="37"/>
      <c r="AQ964" s="37"/>
      <c r="AR964" s="37"/>
      <c r="AS964" s="37"/>
      <c r="AT964" s="37"/>
      <c r="AU964" s="37"/>
      <c r="AV964" s="37"/>
      <c r="AW964" s="37"/>
      <c r="AX964" s="37"/>
      <c r="AY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  <c r="AM965" s="37"/>
      <c r="AN965" s="37"/>
      <c r="AO965" s="37"/>
      <c r="AP965" s="37"/>
      <c r="AQ965" s="37"/>
      <c r="AR965" s="37"/>
      <c r="AS965" s="37"/>
      <c r="AT965" s="37"/>
      <c r="AU965" s="37"/>
      <c r="AV965" s="37"/>
      <c r="AW965" s="37"/>
      <c r="AX965" s="37"/>
      <c r="AY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  <c r="AN966" s="37"/>
      <c r="AO966" s="37"/>
      <c r="AP966" s="37"/>
      <c r="AQ966" s="37"/>
      <c r="AR966" s="37"/>
      <c r="AS966" s="37"/>
      <c r="AT966" s="37"/>
      <c r="AU966" s="37"/>
      <c r="AV966" s="37"/>
      <c r="AW966" s="37"/>
      <c r="AX966" s="37"/>
      <c r="AY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  <c r="AM967" s="37"/>
      <c r="AN967" s="37"/>
      <c r="AO967" s="37"/>
      <c r="AP967" s="37"/>
      <c r="AQ967" s="37"/>
      <c r="AR967" s="37"/>
      <c r="AS967" s="37"/>
      <c r="AT967" s="37"/>
      <c r="AU967" s="37"/>
      <c r="AV967" s="37"/>
      <c r="AW967" s="37"/>
      <c r="AX967" s="37"/>
      <c r="AY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  <c r="AM968" s="37"/>
      <c r="AN968" s="37"/>
      <c r="AO968" s="37"/>
      <c r="AP968" s="37"/>
      <c r="AQ968" s="37"/>
      <c r="AR968" s="37"/>
      <c r="AS968" s="37"/>
      <c r="AT968" s="37"/>
      <c r="AU968" s="37"/>
      <c r="AV968" s="37"/>
      <c r="AW968" s="37"/>
      <c r="AX968" s="37"/>
      <c r="AY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  <c r="AM969" s="37"/>
      <c r="AN969" s="37"/>
      <c r="AO969" s="37"/>
      <c r="AP969" s="37"/>
      <c r="AQ969" s="37"/>
      <c r="AR969" s="37"/>
      <c r="AS969" s="37"/>
      <c r="AT969" s="37"/>
      <c r="AU969" s="37"/>
      <c r="AV969" s="37"/>
      <c r="AW969" s="37"/>
      <c r="AX969" s="37"/>
      <c r="AY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  <c r="AM970" s="37"/>
      <c r="AN970" s="37"/>
      <c r="AO970" s="37"/>
      <c r="AP970" s="37"/>
      <c r="AQ970" s="37"/>
      <c r="AR970" s="37"/>
      <c r="AS970" s="37"/>
      <c r="AT970" s="37"/>
      <c r="AU970" s="37"/>
      <c r="AV970" s="37"/>
      <c r="AW970" s="37"/>
      <c r="AX970" s="37"/>
      <c r="AY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  <c r="AM971" s="37"/>
      <c r="AN971" s="37"/>
      <c r="AO971" s="37"/>
      <c r="AP971" s="37"/>
      <c r="AQ971" s="37"/>
      <c r="AR971" s="37"/>
      <c r="AS971" s="37"/>
      <c r="AT971" s="37"/>
      <c r="AU971" s="37"/>
      <c r="AV971" s="37"/>
      <c r="AW971" s="37"/>
      <c r="AX971" s="37"/>
      <c r="AY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  <c r="AM972" s="37"/>
      <c r="AN972" s="37"/>
      <c r="AO972" s="37"/>
      <c r="AP972" s="37"/>
      <c r="AQ972" s="37"/>
      <c r="AR972" s="37"/>
      <c r="AS972" s="37"/>
      <c r="AT972" s="37"/>
      <c r="AU972" s="37"/>
      <c r="AV972" s="37"/>
      <c r="AW972" s="37"/>
      <c r="AX972" s="37"/>
      <c r="AY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  <c r="AM973" s="37"/>
      <c r="AN973" s="37"/>
      <c r="AO973" s="37"/>
      <c r="AP973" s="37"/>
      <c r="AQ973" s="37"/>
      <c r="AR973" s="37"/>
      <c r="AS973" s="37"/>
      <c r="AT973" s="37"/>
      <c r="AU973" s="37"/>
      <c r="AV973" s="37"/>
      <c r="AW973" s="37"/>
      <c r="AX973" s="37"/>
      <c r="AY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7"/>
      <c r="AN974" s="37"/>
      <c r="AO974" s="37"/>
      <c r="AP974" s="37"/>
      <c r="AQ974" s="37"/>
      <c r="AR974" s="37"/>
      <c r="AS974" s="37"/>
      <c r="AT974" s="37"/>
      <c r="AU974" s="37"/>
      <c r="AV974" s="37"/>
      <c r="AW974" s="37"/>
      <c r="AX974" s="37"/>
      <c r="AY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  <c r="AM975" s="37"/>
      <c r="AN975" s="37"/>
      <c r="AO975" s="37"/>
      <c r="AP975" s="37"/>
      <c r="AQ975" s="37"/>
      <c r="AR975" s="37"/>
      <c r="AS975" s="37"/>
      <c r="AT975" s="37"/>
      <c r="AU975" s="37"/>
      <c r="AV975" s="37"/>
      <c r="AW975" s="37"/>
      <c r="AX975" s="37"/>
      <c r="AY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  <c r="AN976" s="37"/>
      <c r="AO976" s="37"/>
      <c r="AP976" s="37"/>
      <c r="AQ976" s="37"/>
      <c r="AR976" s="37"/>
      <c r="AS976" s="37"/>
      <c r="AT976" s="37"/>
      <c r="AU976" s="37"/>
      <c r="AV976" s="37"/>
      <c r="AW976" s="37"/>
      <c r="AX976" s="37"/>
      <c r="AY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  <c r="AM977" s="37"/>
      <c r="AN977" s="37"/>
      <c r="AO977" s="37"/>
      <c r="AP977" s="37"/>
      <c r="AQ977" s="37"/>
      <c r="AR977" s="37"/>
      <c r="AS977" s="37"/>
      <c r="AT977" s="37"/>
      <c r="AU977" s="37"/>
      <c r="AV977" s="37"/>
      <c r="AW977" s="37"/>
      <c r="AX977" s="37"/>
      <c r="AY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  <c r="AM978" s="37"/>
      <c r="AN978" s="37"/>
      <c r="AO978" s="37"/>
      <c r="AP978" s="37"/>
      <c r="AQ978" s="37"/>
      <c r="AR978" s="37"/>
      <c r="AS978" s="37"/>
      <c r="AT978" s="37"/>
      <c r="AU978" s="37"/>
      <c r="AV978" s="37"/>
      <c r="AW978" s="37"/>
      <c r="AX978" s="37"/>
      <c r="AY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  <c r="AM979" s="37"/>
      <c r="AN979" s="37"/>
      <c r="AO979" s="37"/>
      <c r="AP979" s="37"/>
      <c r="AQ979" s="37"/>
      <c r="AR979" s="37"/>
      <c r="AS979" s="37"/>
      <c r="AT979" s="37"/>
      <c r="AU979" s="37"/>
      <c r="AV979" s="37"/>
      <c r="AW979" s="37"/>
      <c r="AX979" s="37"/>
      <c r="AY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  <c r="AM980" s="37"/>
      <c r="AN980" s="37"/>
      <c r="AO980" s="37"/>
      <c r="AP980" s="37"/>
      <c r="AQ980" s="37"/>
      <c r="AR980" s="37"/>
      <c r="AS980" s="37"/>
      <c r="AT980" s="37"/>
      <c r="AU980" s="37"/>
      <c r="AV980" s="37"/>
      <c r="AW980" s="37"/>
      <c r="AX980" s="37"/>
      <c r="AY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  <c r="AM981" s="37"/>
      <c r="AN981" s="37"/>
      <c r="AO981" s="37"/>
      <c r="AP981" s="37"/>
      <c r="AQ981" s="37"/>
      <c r="AR981" s="37"/>
      <c r="AS981" s="37"/>
      <c r="AT981" s="37"/>
      <c r="AU981" s="37"/>
      <c r="AV981" s="37"/>
      <c r="AW981" s="37"/>
      <c r="AX981" s="37"/>
      <c r="AY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  <c r="AM982" s="37"/>
      <c r="AN982" s="37"/>
      <c r="AO982" s="37"/>
      <c r="AP982" s="37"/>
      <c r="AQ982" s="37"/>
      <c r="AR982" s="37"/>
      <c r="AS982" s="37"/>
      <c r="AT982" s="37"/>
      <c r="AU982" s="37"/>
      <c r="AV982" s="37"/>
      <c r="AW982" s="37"/>
      <c r="AX982" s="37"/>
      <c r="AY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  <c r="AM983" s="37"/>
      <c r="AN983" s="37"/>
      <c r="AO983" s="37"/>
      <c r="AP983" s="37"/>
      <c r="AQ983" s="37"/>
      <c r="AR983" s="37"/>
      <c r="AS983" s="37"/>
      <c r="AT983" s="37"/>
      <c r="AU983" s="37"/>
      <c r="AV983" s="37"/>
      <c r="AW983" s="37"/>
      <c r="AX983" s="37"/>
      <c r="AY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  <c r="AN984" s="37"/>
      <c r="AO984" s="37"/>
      <c r="AP984" s="37"/>
      <c r="AQ984" s="37"/>
      <c r="AR984" s="37"/>
      <c r="AS984" s="37"/>
      <c r="AT984" s="37"/>
      <c r="AU984" s="37"/>
      <c r="AV984" s="37"/>
      <c r="AW984" s="37"/>
      <c r="AX984" s="37"/>
      <c r="AY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  <c r="AM985" s="37"/>
      <c r="AN985" s="37"/>
      <c r="AO985" s="37"/>
      <c r="AP985" s="37"/>
      <c r="AQ985" s="37"/>
      <c r="AR985" s="37"/>
      <c r="AS985" s="37"/>
      <c r="AT985" s="37"/>
      <c r="AU985" s="37"/>
      <c r="AV985" s="37"/>
      <c r="AW985" s="37"/>
      <c r="AX985" s="37"/>
      <c r="AY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  <c r="AM986" s="37"/>
      <c r="AN986" s="37"/>
      <c r="AO986" s="37"/>
      <c r="AP986" s="37"/>
      <c r="AQ986" s="37"/>
      <c r="AR986" s="37"/>
      <c r="AS986" s="37"/>
      <c r="AT986" s="37"/>
      <c r="AU986" s="37"/>
      <c r="AV986" s="37"/>
      <c r="AW986" s="37"/>
      <c r="AX986" s="37"/>
      <c r="AY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  <c r="AM987" s="37"/>
      <c r="AN987" s="37"/>
      <c r="AO987" s="37"/>
      <c r="AP987" s="37"/>
      <c r="AQ987" s="37"/>
      <c r="AR987" s="37"/>
      <c r="AS987" s="37"/>
      <c r="AT987" s="37"/>
      <c r="AU987" s="37"/>
      <c r="AV987" s="37"/>
      <c r="AW987" s="37"/>
      <c r="AX987" s="37"/>
      <c r="AY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  <c r="AM988" s="37"/>
      <c r="AN988" s="37"/>
      <c r="AO988" s="37"/>
      <c r="AP988" s="37"/>
      <c r="AQ988" s="37"/>
      <c r="AR988" s="37"/>
      <c r="AS988" s="37"/>
      <c r="AT988" s="37"/>
      <c r="AU988" s="37"/>
      <c r="AV988" s="37"/>
      <c r="AW988" s="37"/>
      <c r="AX988" s="37"/>
      <c r="AY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  <c r="AM989" s="37"/>
      <c r="AN989" s="37"/>
      <c r="AO989" s="37"/>
      <c r="AP989" s="37"/>
      <c r="AQ989" s="37"/>
      <c r="AR989" s="37"/>
      <c r="AS989" s="37"/>
      <c r="AT989" s="37"/>
      <c r="AU989" s="37"/>
      <c r="AV989" s="37"/>
      <c r="AW989" s="37"/>
      <c r="AX989" s="37"/>
      <c r="AY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  <c r="AM990" s="37"/>
      <c r="AN990" s="37"/>
      <c r="AO990" s="37"/>
      <c r="AP990" s="37"/>
      <c r="AQ990" s="37"/>
      <c r="AR990" s="37"/>
      <c r="AS990" s="37"/>
      <c r="AT990" s="37"/>
      <c r="AU990" s="37"/>
      <c r="AV990" s="37"/>
      <c r="AW990" s="37"/>
      <c r="AX990" s="37"/>
      <c r="AY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  <c r="AN991" s="37"/>
      <c r="AO991" s="37"/>
      <c r="AP991" s="37"/>
      <c r="AQ991" s="37"/>
      <c r="AR991" s="37"/>
      <c r="AS991" s="37"/>
      <c r="AT991" s="37"/>
      <c r="AU991" s="37"/>
      <c r="AV991" s="37"/>
      <c r="AW991" s="37"/>
      <c r="AX991" s="37"/>
      <c r="AY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  <c r="AN992" s="37"/>
      <c r="AO992" s="37"/>
      <c r="AP992" s="37"/>
      <c r="AQ992" s="37"/>
      <c r="AR992" s="37"/>
      <c r="AS992" s="37"/>
      <c r="AT992" s="37"/>
      <c r="AU992" s="37"/>
      <c r="AV992" s="37"/>
      <c r="AW992" s="37"/>
      <c r="AX992" s="37"/>
      <c r="AY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  <c r="AM993" s="37"/>
      <c r="AN993" s="37"/>
      <c r="AO993" s="37"/>
      <c r="AP993" s="37"/>
      <c r="AQ993" s="37"/>
      <c r="AR993" s="37"/>
      <c r="AS993" s="37"/>
      <c r="AT993" s="37"/>
      <c r="AU993" s="37"/>
      <c r="AV993" s="37"/>
      <c r="AW993" s="37"/>
      <c r="AX993" s="37"/>
      <c r="AY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  <c r="AM994" s="37"/>
      <c r="AN994" s="37"/>
      <c r="AO994" s="37"/>
      <c r="AP994" s="37"/>
      <c r="AQ994" s="37"/>
      <c r="AR994" s="37"/>
      <c r="AS994" s="37"/>
      <c r="AT994" s="37"/>
      <c r="AU994" s="37"/>
      <c r="AV994" s="37"/>
      <c r="AW994" s="37"/>
      <c r="AX994" s="37"/>
      <c r="AY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  <c r="AM995" s="37"/>
      <c r="AN995" s="37"/>
      <c r="AO995" s="37"/>
      <c r="AP995" s="37"/>
      <c r="AQ995" s="37"/>
      <c r="AR995" s="37"/>
      <c r="AS995" s="37"/>
      <c r="AT995" s="37"/>
      <c r="AU995" s="37"/>
      <c r="AV995" s="37"/>
      <c r="AW995" s="37"/>
      <c r="AX995" s="37"/>
      <c r="AY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  <c r="AM996" s="37"/>
      <c r="AN996" s="37"/>
      <c r="AO996" s="37"/>
      <c r="AP996" s="37"/>
      <c r="AQ996" s="37"/>
      <c r="AR996" s="37"/>
      <c r="AS996" s="37"/>
      <c r="AT996" s="37"/>
      <c r="AU996" s="37"/>
      <c r="AV996" s="37"/>
      <c r="AW996" s="37"/>
      <c r="AX996" s="37"/>
      <c r="AY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  <c r="AM997" s="37"/>
      <c r="AN997" s="37"/>
      <c r="AO997" s="37"/>
      <c r="AP997" s="37"/>
      <c r="AQ997" s="37"/>
      <c r="AR997" s="37"/>
      <c r="AS997" s="37"/>
      <c r="AT997" s="37"/>
      <c r="AU997" s="37"/>
      <c r="AV997" s="37"/>
      <c r="AW997" s="37"/>
      <c r="AX997" s="37"/>
      <c r="AY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  <c r="AM998" s="37"/>
      <c r="AN998" s="37"/>
      <c r="AO998" s="37"/>
      <c r="AP998" s="37"/>
      <c r="AQ998" s="37"/>
      <c r="AR998" s="37"/>
      <c r="AS998" s="37"/>
      <c r="AT998" s="37"/>
      <c r="AU998" s="37"/>
      <c r="AV998" s="37"/>
      <c r="AW998" s="37"/>
      <c r="AX998" s="37"/>
      <c r="AY998" s="37"/>
    </row>
  </sheetData>
  <mergeCells count="1">
    <mergeCell ref="A1:AY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2" max="2" width="74.5"/>
    <col customWidth="1" min="10" max="85" width="2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>
        <v>2026.0</v>
      </c>
      <c r="AF1" s="4">
        <v>2027.0</v>
      </c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>
        <v>46237.0</v>
      </c>
      <c r="K2" s="6">
        <f t="shared" ref="K2:CG2" si="1">J2 + 7</f>
        <v>46244</v>
      </c>
      <c r="L2" s="6">
        <f t="shared" si="1"/>
        <v>46251</v>
      </c>
      <c r="M2" s="6">
        <f t="shared" si="1"/>
        <v>46258</v>
      </c>
      <c r="N2" s="6">
        <f t="shared" si="1"/>
        <v>46265</v>
      </c>
      <c r="O2" s="6">
        <f t="shared" si="1"/>
        <v>46272</v>
      </c>
      <c r="P2" s="6">
        <f t="shared" si="1"/>
        <v>46279</v>
      </c>
      <c r="Q2" s="6">
        <f t="shared" si="1"/>
        <v>46286</v>
      </c>
      <c r="R2" s="6">
        <f t="shared" si="1"/>
        <v>46293</v>
      </c>
      <c r="S2" s="6">
        <f t="shared" si="1"/>
        <v>46300</v>
      </c>
      <c r="T2" s="6">
        <f t="shared" si="1"/>
        <v>46307</v>
      </c>
      <c r="U2" s="6">
        <f t="shared" si="1"/>
        <v>46314</v>
      </c>
      <c r="V2" s="6">
        <f t="shared" si="1"/>
        <v>46321</v>
      </c>
      <c r="W2" s="6">
        <f t="shared" si="1"/>
        <v>46328</v>
      </c>
      <c r="X2" s="6">
        <f t="shared" si="1"/>
        <v>46335</v>
      </c>
      <c r="Y2" s="6">
        <f t="shared" si="1"/>
        <v>46342</v>
      </c>
      <c r="Z2" s="6">
        <f t="shared" si="1"/>
        <v>46349</v>
      </c>
      <c r="AA2" s="6">
        <f t="shared" si="1"/>
        <v>46356</v>
      </c>
      <c r="AB2" s="6">
        <f t="shared" si="1"/>
        <v>46363</v>
      </c>
      <c r="AC2" s="6">
        <f t="shared" si="1"/>
        <v>46370</v>
      </c>
      <c r="AD2" s="6">
        <f t="shared" si="1"/>
        <v>46377</v>
      </c>
      <c r="AE2" s="6">
        <f t="shared" si="1"/>
        <v>46384</v>
      </c>
      <c r="AF2" s="6">
        <f t="shared" si="1"/>
        <v>46391</v>
      </c>
      <c r="AG2" s="6">
        <f t="shared" si="1"/>
        <v>46398</v>
      </c>
      <c r="AH2" s="6">
        <f t="shared" si="1"/>
        <v>46405</v>
      </c>
      <c r="AI2" s="6">
        <f t="shared" si="1"/>
        <v>46412</v>
      </c>
      <c r="AJ2" s="6">
        <f t="shared" si="1"/>
        <v>46419</v>
      </c>
      <c r="AK2" s="6">
        <f t="shared" si="1"/>
        <v>46426</v>
      </c>
      <c r="AL2" s="6">
        <f t="shared" si="1"/>
        <v>46433</v>
      </c>
      <c r="AM2" s="6">
        <f t="shared" si="1"/>
        <v>46440</v>
      </c>
      <c r="AN2" s="6">
        <f t="shared" si="1"/>
        <v>46447</v>
      </c>
      <c r="AO2" s="6">
        <f t="shared" si="1"/>
        <v>46454</v>
      </c>
      <c r="AP2" s="6">
        <f t="shared" si="1"/>
        <v>46461</v>
      </c>
      <c r="AQ2" s="6">
        <f t="shared" si="1"/>
        <v>46468</v>
      </c>
      <c r="AR2" s="6">
        <f t="shared" si="1"/>
        <v>46475</v>
      </c>
      <c r="AS2" s="6">
        <f t="shared" si="1"/>
        <v>46482</v>
      </c>
      <c r="AT2" s="6">
        <f t="shared" si="1"/>
        <v>46489</v>
      </c>
      <c r="AU2" s="6">
        <f t="shared" si="1"/>
        <v>46496</v>
      </c>
      <c r="AV2" s="6">
        <f t="shared" si="1"/>
        <v>46503</v>
      </c>
      <c r="AW2" s="6">
        <f t="shared" si="1"/>
        <v>46510</v>
      </c>
      <c r="AX2" s="6">
        <f t="shared" si="1"/>
        <v>46517</v>
      </c>
      <c r="AY2" s="6">
        <f t="shared" si="1"/>
        <v>46524</v>
      </c>
      <c r="AZ2" s="6">
        <f t="shared" si="1"/>
        <v>46531</v>
      </c>
      <c r="BA2" s="6">
        <f t="shared" si="1"/>
        <v>46538</v>
      </c>
      <c r="BB2" s="6">
        <f t="shared" si="1"/>
        <v>46545</v>
      </c>
      <c r="BC2" s="6">
        <f t="shared" si="1"/>
        <v>46552</v>
      </c>
      <c r="BD2" s="6">
        <f t="shared" si="1"/>
        <v>46559</v>
      </c>
      <c r="BE2" s="6">
        <f t="shared" si="1"/>
        <v>46566</v>
      </c>
      <c r="BF2" s="6">
        <f t="shared" si="1"/>
        <v>46573</v>
      </c>
      <c r="BG2" s="6">
        <f t="shared" si="1"/>
        <v>46580</v>
      </c>
      <c r="BH2" s="6">
        <f t="shared" si="1"/>
        <v>46587</v>
      </c>
      <c r="BI2" s="6">
        <f t="shared" si="1"/>
        <v>46594</v>
      </c>
      <c r="BJ2" s="6">
        <f t="shared" si="1"/>
        <v>46601</v>
      </c>
      <c r="BK2" s="6">
        <f t="shared" si="1"/>
        <v>46608</v>
      </c>
      <c r="BL2" s="6">
        <f t="shared" si="1"/>
        <v>46615</v>
      </c>
      <c r="BM2" s="6">
        <f t="shared" si="1"/>
        <v>46622</v>
      </c>
      <c r="BN2" s="6">
        <f t="shared" si="1"/>
        <v>46629</v>
      </c>
      <c r="BO2" s="6">
        <f t="shared" si="1"/>
        <v>46636</v>
      </c>
      <c r="BP2" s="6">
        <f t="shared" si="1"/>
        <v>46643</v>
      </c>
      <c r="BQ2" s="6">
        <f t="shared" si="1"/>
        <v>46650</v>
      </c>
      <c r="BR2" s="6">
        <f t="shared" si="1"/>
        <v>46657</v>
      </c>
      <c r="BS2" s="6">
        <f t="shared" si="1"/>
        <v>46664</v>
      </c>
      <c r="BT2" s="6">
        <f t="shared" si="1"/>
        <v>46671</v>
      </c>
      <c r="BU2" s="6">
        <f t="shared" si="1"/>
        <v>46678</v>
      </c>
      <c r="BV2" s="6">
        <f t="shared" si="1"/>
        <v>46685</v>
      </c>
      <c r="BW2" s="6">
        <f t="shared" si="1"/>
        <v>46692</v>
      </c>
      <c r="BX2" s="6">
        <f t="shared" si="1"/>
        <v>46699</v>
      </c>
      <c r="BY2" s="6">
        <f t="shared" si="1"/>
        <v>46706</v>
      </c>
      <c r="BZ2" s="6">
        <f t="shared" si="1"/>
        <v>46713</v>
      </c>
      <c r="CA2" s="6">
        <f t="shared" si="1"/>
        <v>46720</v>
      </c>
      <c r="CB2" s="6">
        <f t="shared" si="1"/>
        <v>46727</v>
      </c>
      <c r="CC2" s="6">
        <f t="shared" si="1"/>
        <v>46734</v>
      </c>
      <c r="CD2" s="6">
        <f t="shared" si="1"/>
        <v>46741</v>
      </c>
      <c r="CE2" s="6">
        <f t="shared" si="1"/>
        <v>46748</v>
      </c>
      <c r="CF2" s="6">
        <f t="shared" si="1"/>
        <v>46755</v>
      </c>
      <c r="CG2" s="6">
        <f t="shared" si="1"/>
        <v>46762</v>
      </c>
    </row>
    <row r="3">
      <c r="A3" s="8"/>
      <c r="B3" s="20" t="s">
        <v>17</v>
      </c>
      <c r="C3" s="10"/>
      <c r="D3" s="10"/>
      <c r="E3" s="10"/>
      <c r="F3" s="11"/>
      <c r="G3" s="11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</row>
    <row r="4">
      <c r="A4" s="13"/>
      <c r="B4" s="21" t="s">
        <v>23</v>
      </c>
      <c r="C4" s="12"/>
      <c r="D4" s="12"/>
      <c r="E4" s="22">
        <v>1.0</v>
      </c>
      <c r="F4" s="16"/>
      <c r="G4" s="17"/>
      <c r="H4" s="18"/>
      <c r="I4" s="12"/>
      <c r="J4" s="23"/>
    </row>
    <row r="5">
      <c r="A5" s="13"/>
      <c r="B5" s="21" t="s">
        <v>24</v>
      </c>
      <c r="C5" s="12"/>
      <c r="D5" s="12"/>
      <c r="E5" s="22">
        <v>1.0</v>
      </c>
      <c r="F5" s="16"/>
      <c r="G5" s="17"/>
      <c r="H5" s="18"/>
      <c r="I5" s="12"/>
      <c r="J5" s="23"/>
    </row>
    <row r="6">
      <c r="A6" s="8" t="s">
        <v>10</v>
      </c>
      <c r="B6" s="9" t="s">
        <v>11</v>
      </c>
      <c r="C6" s="10"/>
      <c r="D6" s="10"/>
      <c r="E6" s="10"/>
      <c r="F6" s="11"/>
      <c r="G6" s="11"/>
      <c r="H6" s="8" t="s">
        <v>12</v>
      </c>
      <c r="I6" s="9" t="s">
        <v>13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</row>
    <row r="7">
      <c r="A7" s="13" t="s">
        <v>14</v>
      </c>
      <c r="B7" s="14" t="s">
        <v>15</v>
      </c>
      <c r="C7" s="12"/>
      <c r="D7" s="12"/>
      <c r="E7" s="15">
        <v>5.0</v>
      </c>
      <c r="F7" s="16">
        <v>46237.0</v>
      </c>
      <c r="G7" s="17">
        <f t="shared" ref="G7:G11" si="2">WORKDAY(F7, E7 - 1)</f>
        <v>46241</v>
      </c>
      <c r="H7" s="18" t="s">
        <v>12</v>
      </c>
      <c r="I7" s="12" t="s">
        <v>16</v>
      </c>
      <c r="J7" s="23"/>
    </row>
    <row r="8">
      <c r="A8" s="13" t="s">
        <v>18</v>
      </c>
      <c r="B8" s="12" t="s">
        <v>19</v>
      </c>
      <c r="C8" s="12"/>
      <c r="D8" s="13"/>
      <c r="E8" s="15">
        <v>90.0</v>
      </c>
      <c r="F8" s="16">
        <v>46244.0</v>
      </c>
      <c r="G8" s="16">
        <f t="shared" si="2"/>
        <v>46367</v>
      </c>
      <c r="H8" s="13" t="s">
        <v>20</v>
      </c>
      <c r="I8" s="12" t="s">
        <v>16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>
      <c r="A9" s="13" t="s">
        <v>21</v>
      </c>
      <c r="B9" s="12" t="s">
        <v>22</v>
      </c>
      <c r="C9" s="12"/>
      <c r="D9" s="13" t="s">
        <v>18</v>
      </c>
      <c r="E9" s="15">
        <v>15.0</v>
      </c>
      <c r="F9" s="16">
        <f>WORKDAY(G8, 1)</f>
        <v>46370</v>
      </c>
      <c r="G9" s="16">
        <f t="shared" si="2"/>
        <v>46388</v>
      </c>
      <c r="H9" s="13" t="s">
        <v>20</v>
      </c>
      <c r="I9" s="12" t="s">
        <v>16</v>
      </c>
      <c r="AC9" s="25"/>
      <c r="AD9" s="25"/>
    </row>
    <row r="10">
      <c r="A10" s="13" t="s">
        <v>25</v>
      </c>
      <c r="B10" s="12" t="s">
        <v>26</v>
      </c>
      <c r="C10" s="12"/>
      <c r="D10" s="13" t="s">
        <v>18</v>
      </c>
      <c r="E10" s="15">
        <v>15.0</v>
      </c>
      <c r="F10" s="16">
        <f>WORKDAY(G8, 1)</f>
        <v>46370</v>
      </c>
      <c r="G10" s="16">
        <f t="shared" si="2"/>
        <v>46388</v>
      </c>
      <c r="H10" s="13" t="s">
        <v>12</v>
      </c>
      <c r="I10" s="12" t="s">
        <v>16</v>
      </c>
      <c r="AC10" s="23"/>
      <c r="AD10" s="23"/>
    </row>
    <row r="11">
      <c r="A11" s="13" t="s">
        <v>27</v>
      </c>
      <c r="B11" s="12" t="s">
        <v>28</v>
      </c>
      <c r="C11" s="12"/>
      <c r="D11" s="13" t="s">
        <v>29</v>
      </c>
      <c r="E11" s="27">
        <v>1.0</v>
      </c>
      <c r="F11" s="16">
        <f>WORKDAY(G10, 1)</f>
        <v>46391</v>
      </c>
      <c r="G11" s="16">
        <f t="shared" si="2"/>
        <v>46391</v>
      </c>
      <c r="H11" s="13" t="s">
        <v>12</v>
      </c>
      <c r="I11" s="12" t="s">
        <v>30</v>
      </c>
      <c r="AF11" s="28" t="s">
        <v>33</v>
      </c>
    </row>
    <row r="12">
      <c r="A12" s="8" t="s">
        <v>31</v>
      </c>
      <c r="B12" s="9" t="s">
        <v>32</v>
      </c>
      <c r="C12" s="10"/>
      <c r="D12" s="10"/>
      <c r="E12" s="10"/>
      <c r="F12" s="11"/>
      <c r="G12" s="11"/>
      <c r="H12" s="8" t="s">
        <v>12</v>
      </c>
      <c r="I12" s="9" t="s">
        <v>13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</row>
    <row r="13">
      <c r="A13" s="13" t="s">
        <v>34</v>
      </c>
      <c r="B13" s="14" t="s">
        <v>35</v>
      </c>
      <c r="C13" s="12"/>
      <c r="D13" s="18" t="s">
        <v>36</v>
      </c>
      <c r="E13" s="22">
        <v>5.0</v>
      </c>
      <c r="F13" s="16">
        <v>46238.0</v>
      </c>
      <c r="G13" s="16">
        <f t="shared" ref="G13:G19" si="3">WORKDAY(F13, E13 - 1)</f>
        <v>46244</v>
      </c>
      <c r="H13" s="13" t="s">
        <v>12</v>
      </c>
      <c r="I13" s="12" t="s">
        <v>16</v>
      </c>
      <c r="J13" s="23"/>
    </row>
    <row r="14">
      <c r="A14" s="13" t="s">
        <v>37</v>
      </c>
      <c r="B14" s="29" t="s">
        <v>38</v>
      </c>
      <c r="C14" s="12"/>
      <c r="D14" s="13" t="s">
        <v>21</v>
      </c>
      <c r="E14" s="15">
        <v>5.0</v>
      </c>
      <c r="F14" s="16">
        <f>WORKDAY(G9, 1)</f>
        <v>46391</v>
      </c>
      <c r="G14" s="16">
        <f t="shared" si="3"/>
        <v>46395</v>
      </c>
      <c r="H14" s="13" t="s">
        <v>20</v>
      </c>
      <c r="I14" s="12" t="s">
        <v>16</v>
      </c>
      <c r="AB14" s="25"/>
    </row>
    <row r="15">
      <c r="A15" s="13" t="s">
        <v>39</v>
      </c>
      <c r="B15" s="29" t="s">
        <v>40</v>
      </c>
      <c r="C15" s="12"/>
      <c r="D15" s="13" t="s">
        <v>21</v>
      </c>
      <c r="E15" s="15">
        <v>5.0</v>
      </c>
      <c r="F15" s="16">
        <f t="shared" ref="F15:F16" si="4">WORKDAY(G9, 1)</f>
        <v>46391</v>
      </c>
      <c r="G15" s="16">
        <f t="shared" si="3"/>
        <v>46395</v>
      </c>
      <c r="H15" s="13" t="s">
        <v>12</v>
      </c>
      <c r="I15" s="12" t="s">
        <v>16</v>
      </c>
      <c r="AB15" s="25"/>
    </row>
    <row r="16">
      <c r="A16" s="13" t="s">
        <v>41</v>
      </c>
      <c r="B16" s="29" t="s">
        <v>42</v>
      </c>
      <c r="C16" s="12"/>
      <c r="D16" s="13" t="s">
        <v>21</v>
      </c>
      <c r="E16" s="15">
        <v>5.0</v>
      </c>
      <c r="F16" s="16">
        <f t="shared" si="4"/>
        <v>46391</v>
      </c>
      <c r="G16" s="16">
        <f t="shared" si="3"/>
        <v>46395</v>
      </c>
      <c r="H16" s="13" t="s">
        <v>12</v>
      </c>
      <c r="I16" s="12" t="s">
        <v>16</v>
      </c>
      <c r="AB16" s="25"/>
    </row>
    <row r="17">
      <c r="A17" s="13" t="s">
        <v>43</v>
      </c>
      <c r="B17" s="29" t="s">
        <v>44</v>
      </c>
      <c r="C17" s="12"/>
      <c r="D17" s="13" t="s">
        <v>34</v>
      </c>
      <c r="E17" s="15">
        <v>3.0</v>
      </c>
      <c r="F17" s="16">
        <f>WORKDAY(G9, 1)</f>
        <v>46391</v>
      </c>
      <c r="G17" s="16">
        <f t="shared" si="3"/>
        <v>46393</v>
      </c>
      <c r="H17" s="13" t="s">
        <v>12</v>
      </c>
      <c r="I17" s="12" t="s">
        <v>16</v>
      </c>
      <c r="AB17" s="25"/>
      <c r="AR17" s="30"/>
    </row>
    <row r="18">
      <c r="A18" s="13" t="s">
        <v>45</v>
      </c>
      <c r="B18" s="29" t="s">
        <v>46</v>
      </c>
      <c r="C18" s="12"/>
      <c r="D18" s="13" t="s">
        <v>43</v>
      </c>
      <c r="E18" s="15">
        <v>3.0</v>
      </c>
      <c r="F18" s="16">
        <f t="shared" ref="F18:F19" si="5">WORKDAY(G17, 1)</f>
        <v>46394</v>
      </c>
      <c r="G18" s="16">
        <f t="shared" si="3"/>
        <v>46398</v>
      </c>
      <c r="H18" s="13" t="s">
        <v>12</v>
      </c>
      <c r="I18" s="12" t="s">
        <v>16</v>
      </c>
      <c r="AC18" s="25"/>
    </row>
    <row r="19">
      <c r="A19" s="13" t="s">
        <v>47</v>
      </c>
      <c r="B19" s="12" t="s">
        <v>48</v>
      </c>
      <c r="C19" s="12"/>
      <c r="D19" s="13" t="s">
        <v>49</v>
      </c>
      <c r="E19" s="27">
        <v>1.0</v>
      </c>
      <c r="F19" s="16">
        <f t="shared" si="5"/>
        <v>46399</v>
      </c>
      <c r="G19" s="16">
        <f t="shared" si="3"/>
        <v>46399</v>
      </c>
      <c r="H19" s="13" t="s">
        <v>20</v>
      </c>
      <c r="I19" s="12" t="s">
        <v>30</v>
      </c>
      <c r="AG19" s="28" t="s">
        <v>33</v>
      </c>
    </row>
    <row r="20">
      <c r="A20" s="8" t="s">
        <v>50</v>
      </c>
      <c r="B20" s="9" t="s">
        <v>51</v>
      </c>
      <c r="C20" s="10"/>
      <c r="D20" s="10"/>
      <c r="E20" s="10"/>
      <c r="F20" s="11"/>
      <c r="G20" s="11"/>
      <c r="H20" s="8" t="s">
        <v>12</v>
      </c>
      <c r="I20" s="9" t="s">
        <v>13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</row>
    <row r="21">
      <c r="A21" s="13" t="s">
        <v>52</v>
      </c>
      <c r="B21" s="31" t="s">
        <v>53</v>
      </c>
      <c r="C21" s="12"/>
      <c r="D21" s="18" t="s">
        <v>36</v>
      </c>
      <c r="E21" s="15">
        <v>3.0</v>
      </c>
      <c r="F21" s="16">
        <v>46238.0</v>
      </c>
      <c r="G21" s="17">
        <f t="shared" ref="G21:G24" si="6">WORKDAY(F21, E21 - 1)</f>
        <v>46240</v>
      </c>
      <c r="H21" s="13" t="s">
        <v>12</v>
      </c>
      <c r="I21" s="12" t="s">
        <v>16</v>
      </c>
      <c r="J21" s="23"/>
    </row>
    <row r="22">
      <c r="A22" s="13" t="s">
        <v>54</v>
      </c>
      <c r="B22" s="31" t="s">
        <v>55</v>
      </c>
      <c r="C22" s="12"/>
      <c r="D22" s="13" t="s">
        <v>56</v>
      </c>
      <c r="E22" s="15">
        <v>10.0</v>
      </c>
      <c r="F22" s="16">
        <v>46239.0</v>
      </c>
      <c r="G22" s="17">
        <f t="shared" si="6"/>
        <v>46252</v>
      </c>
      <c r="H22" s="13" t="s">
        <v>12</v>
      </c>
      <c r="I22" s="12" t="s">
        <v>16</v>
      </c>
      <c r="J22" s="23"/>
      <c r="K22" s="23"/>
    </row>
    <row r="23">
      <c r="A23" s="13" t="s">
        <v>57</v>
      </c>
      <c r="B23" s="29" t="s">
        <v>58</v>
      </c>
      <c r="C23" s="12"/>
      <c r="D23" s="13" t="s">
        <v>59</v>
      </c>
      <c r="E23" s="15">
        <v>1.0</v>
      </c>
      <c r="F23" s="16">
        <f>WORKDAY(G14, 1)</f>
        <v>46398</v>
      </c>
      <c r="G23" s="17">
        <f t="shared" si="6"/>
        <v>46398</v>
      </c>
      <c r="H23" s="13" t="s">
        <v>20</v>
      </c>
      <c r="I23" s="12" t="s">
        <v>16</v>
      </c>
      <c r="AD23" s="25"/>
    </row>
    <row r="24">
      <c r="A24" s="13" t="s">
        <v>60</v>
      </c>
      <c r="B24" s="12" t="s">
        <v>61</v>
      </c>
      <c r="C24" s="12"/>
      <c r="D24" s="13" t="s">
        <v>57</v>
      </c>
      <c r="E24" s="27">
        <v>1.0</v>
      </c>
      <c r="F24" s="16">
        <f>WORKDAY(G23, 1)</f>
        <v>46399</v>
      </c>
      <c r="G24" s="16">
        <f t="shared" si="6"/>
        <v>46399</v>
      </c>
      <c r="H24" s="13" t="s">
        <v>20</v>
      </c>
      <c r="I24" s="12" t="s">
        <v>30</v>
      </c>
      <c r="AG24" s="28" t="s">
        <v>33</v>
      </c>
    </row>
    <row r="25">
      <c r="A25" s="8" t="s">
        <v>62</v>
      </c>
      <c r="B25" s="9" t="s">
        <v>63</v>
      </c>
      <c r="C25" s="10"/>
      <c r="D25" s="10"/>
      <c r="E25" s="10"/>
      <c r="F25" s="11"/>
      <c r="G25" s="11"/>
      <c r="H25" s="8" t="s">
        <v>12</v>
      </c>
      <c r="I25" s="9" t="s">
        <v>13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</row>
    <row r="26">
      <c r="A26" s="13" t="s">
        <v>64</v>
      </c>
      <c r="B26" s="29" t="s">
        <v>65</v>
      </c>
      <c r="C26" s="12"/>
      <c r="D26" s="13" t="s">
        <v>60</v>
      </c>
      <c r="E26" s="15">
        <v>30.0</v>
      </c>
      <c r="F26" s="16">
        <f>WORKDAY(G23, 1)</f>
        <v>46399</v>
      </c>
      <c r="G26" s="17">
        <f t="shared" ref="G26:G32" si="7">WORKDAY(F26, E26 - 1)</f>
        <v>46440</v>
      </c>
      <c r="H26" s="13" t="s">
        <v>20</v>
      </c>
      <c r="I26" s="12" t="s">
        <v>16</v>
      </c>
      <c r="AD26" s="25"/>
      <c r="AE26" s="25"/>
      <c r="AF26" s="25"/>
      <c r="AG26" s="25"/>
      <c r="AH26" s="25"/>
      <c r="AI26" s="25"/>
    </row>
    <row r="27">
      <c r="A27" s="13" t="s">
        <v>66</v>
      </c>
      <c r="B27" s="29" t="s">
        <v>67</v>
      </c>
      <c r="C27" s="12"/>
      <c r="D27" s="13">
        <v>4.1</v>
      </c>
      <c r="E27" s="15">
        <v>30.0</v>
      </c>
      <c r="F27" s="16">
        <f>WORKDAY(G23, 1)</f>
        <v>46399</v>
      </c>
      <c r="G27" s="17">
        <f t="shared" si="7"/>
        <v>46440</v>
      </c>
      <c r="H27" s="13" t="s">
        <v>12</v>
      </c>
      <c r="I27" s="12" t="s">
        <v>16</v>
      </c>
      <c r="AD27" s="25"/>
      <c r="AE27" s="25"/>
      <c r="AF27" s="25"/>
      <c r="AG27" s="25"/>
      <c r="AH27" s="25"/>
      <c r="AI27" s="25"/>
    </row>
    <row r="28">
      <c r="A28" s="13" t="s">
        <v>68</v>
      </c>
      <c r="B28" s="29" t="s">
        <v>69</v>
      </c>
      <c r="C28" s="12"/>
      <c r="D28" s="13">
        <v>4.1</v>
      </c>
      <c r="E28" s="15">
        <v>30.0</v>
      </c>
      <c r="F28" s="16">
        <f>WORKDAY(G23, 1)</f>
        <v>46399</v>
      </c>
      <c r="G28" s="17">
        <f t="shared" si="7"/>
        <v>46440</v>
      </c>
      <c r="H28" s="13" t="s">
        <v>20</v>
      </c>
      <c r="I28" s="12" t="s">
        <v>16</v>
      </c>
      <c r="AD28" s="25"/>
      <c r="AE28" s="25"/>
      <c r="AF28" s="25"/>
      <c r="AG28" s="25"/>
      <c r="AH28" s="25"/>
      <c r="AI28" s="25"/>
    </row>
    <row r="29">
      <c r="A29" s="13" t="s">
        <v>70</v>
      </c>
      <c r="B29" s="29" t="s">
        <v>71</v>
      </c>
      <c r="C29" s="12"/>
      <c r="D29" s="13">
        <v>4.1</v>
      </c>
      <c r="E29" s="15">
        <v>30.0</v>
      </c>
      <c r="F29" s="16">
        <f>WORKDAY(G23, 1)</f>
        <v>46399</v>
      </c>
      <c r="G29" s="17">
        <f t="shared" si="7"/>
        <v>46440</v>
      </c>
      <c r="H29" s="13" t="s">
        <v>20</v>
      </c>
      <c r="I29" s="12" t="s">
        <v>16</v>
      </c>
      <c r="AD29" s="25"/>
      <c r="AE29" s="25"/>
      <c r="AF29" s="25"/>
      <c r="AG29" s="25"/>
      <c r="AH29" s="25"/>
      <c r="AI29" s="25"/>
    </row>
    <row r="30">
      <c r="A30" s="13" t="s">
        <v>72</v>
      </c>
      <c r="B30" s="29" t="s">
        <v>73</v>
      </c>
      <c r="C30" s="12"/>
      <c r="D30" s="13">
        <v>4.4</v>
      </c>
      <c r="E30" s="15">
        <v>30.0</v>
      </c>
      <c r="F30" s="16">
        <f>WORKDAY(G26, 1)</f>
        <v>46441</v>
      </c>
      <c r="G30" s="17">
        <f t="shared" si="7"/>
        <v>46482</v>
      </c>
      <c r="H30" s="13" t="s">
        <v>12</v>
      </c>
      <c r="I30" s="12" t="s">
        <v>16</v>
      </c>
      <c r="AJ30" s="25"/>
      <c r="AK30" s="25"/>
      <c r="AL30" s="25"/>
      <c r="AM30" s="25"/>
      <c r="AN30" s="25"/>
      <c r="AO30" s="25"/>
    </row>
    <row r="31">
      <c r="A31" s="32">
        <v>46177.0</v>
      </c>
      <c r="B31" s="33" t="s">
        <v>74</v>
      </c>
      <c r="C31" s="12"/>
      <c r="D31" s="32">
        <v>46146.0</v>
      </c>
      <c r="E31" s="22">
        <v>120.0</v>
      </c>
      <c r="F31" s="17">
        <f t="shared" ref="F31:F32" si="8">WORKDAY(G30, 1)</f>
        <v>46483</v>
      </c>
      <c r="G31" s="17">
        <f t="shared" si="7"/>
        <v>46650</v>
      </c>
      <c r="H31" s="18" t="s">
        <v>12</v>
      </c>
      <c r="I31" s="34" t="s">
        <v>16</v>
      </c>
      <c r="AP31" s="23"/>
      <c r="AQ31" s="23"/>
      <c r="AR31" s="23"/>
      <c r="AS31" s="35" t="s">
        <v>33</v>
      </c>
      <c r="AT31" s="23"/>
      <c r="AU31" s="23"/>
      <c r="AV31" s="23"/>
      <c r="AW31" s="35" t="s">
        <v>33</v>
      </c>
      <c r="AX31" s="23"/>
      <c r="AY31" s="23"/>
      <c r="AZ31" s="23"/>
      <c r="BA31" s="35" t="s">
        <v>33</v>
      </c>
      <c r="BB31" s="23"/>
      <c r="BC31" s="23"/>
      <c r="BD31" s="23"/>
      <c r="BE31" s="35" t="s">
        <v>33</v>
      </c>
      <c r="BF31" s="23"/>
      <c r="BG31" s="23"/>
      <c r="BH31" s="23"/>
      <c r="BI31" s="35" t="s">
        <v>33</v>
      </c>
      <c r="BJ31" s="23"/>
      <c r="BK31" s="23"/>
      <c r="BL31" s="23"/>
      <c r="BM31" s="35" t="s">
        <v>33</v>
      </c>
      <c r="BN31" s="23"/>
      <c r="BO31" s="23"/>
      <c r="BP31" s="35" t="s">
        <v>33</v>
      </c>
    </row>
    <row r="32">
      <c r="A32" s="32">
        <v>46207.0</v>
      </c>
      <c r="B32" s="12" t="s">
        <v>75</v>
      </c>
      <c r="C32" s="12"/>
      <c r="D32" s="13" t="s">
        <v>76</v>
      </c>
      <c r="E32" s="27">
        <v>1.0</v>
      </c>
      <c r="F32" s="16">
        <f t="shared" si="8"/>
        <v>46651</v>
      </c>
      <c r="G32" s="16">
        <f t="shared" si="7"/>
        <v>46651</v>
      </c>
      <c r="H32" s="13" t="s">
        <v>20</v>
      </c>
      <c r="I32" s="12" t="s">
        <v>30</v>
      </c>
      <c r="BQ32" s="28" t="s">
        <v>33</v>
      </c>
    </row>
    <row r="33">
      <c r="A33" s="8" t="s">
        <v>77</v>
      </c>
      <c r="B33" s="9" t="s">
        <v>78</v>
      </c>
      <c r="C33" s="10"/>
      <c r="D33" s="10"/>
      <c r="E33" s="10"/>
      <c r="F33" s="11"/>
      <c r="G33" s="11"/>
      <c r="H33" s="8" t="s">
        <v>12</v>
      </c>
      <c r="I33" s="9" t="s">
        <v>13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</row>
    <row r="34">
      <c r="A34" s="13" t="s">
        <v>79</v>
      </c>
      <c r="B34" s="29" t="s">
        <v>80</v>
      </c>
      <c r="C34" s="12"/>
      <c r="D34" s="32">
        <v>46207.0</v>
      </c>
      <c r="E34" s="15">
        <v>1.0</v>
      </c>
      <c r="F34" s="16">
        <f>WORKDAY(G30, 1)</f>
        <v>46483</v>
      </c>
      <c r="G34" s="17">
        <f t="shared" ref="G34:G43" si="9">WORKDAY(F34, E34 - 1)</f>
        <v>46483</v>
      </c>
      <c r="H34" s="13" t="s">
        <v>20</v>
      </c>
      <c r="I34" s="12" t="s">
        <v>16</v>
      </c>
      <c r="AP34" s="25"/>
    </row>
    <row r="35">
      <c r="A35" s="13" t="s">
        <v>81</v>
      </c>
      <c r="B35" s="29" t="s">
        <v>82</v>
      </c>
      <c r="C35" s="12"/>
      <c r="D35" s="18">
        <v>5.1</v>
      </c>
      <c r="E35" s="15">
        <v>1.0</v>
      </c>
      <c r="F35" s="16">
        <f>WORKDAY(G34, 1)</f>
        <v>46484</v>
      </c>
      <c r="G35" s="17">
        <f t="shared" si="9"/>
        <v>46484</v>
      </c>
      <c r="H35" s="13" t="s">
        <v>12</v>
      </c>
      <c r="I35" s="12" t="s">
        <v>16</v>
      </c>
      <c r="AQ35" s="23"/>
    </row>
    <row r="36">
      <c r="A36" s="13" t="s">
        <v>83</v>
      </c>
      <c r="B36" s="29" t="s">
        <v>84</v>
      </c>
      <c r="C36" s="12"/>
      <c r="D36" s="18">
        <v>5.1</v>
      </c>
      <c r="E36" s="15">
        <v>15.0</v>
      </c>
      <c r="F36" s="16">
        <f>WORKDAY(G34, 1)</f>
        <v>46484</v>
      </c>
      <c r="G36" s="17">
        <f t="shared" si="9"/>
        <v>46504</v>
      </c>
      <c r="H36" s="13" t="s">
        <v>20</v>
      </c>
      <c r="I36" s="12" t="s">
        <v>16</v>
      </c>
      <c r="AQ36" s="25"/>
      <c r="AR36" s="25"/>
      <c r="AS36" s="25"/>
    </row>
    <row r="37">
      <c r="A37" s="13" t="s">
        <v>85</v>
      </c>
      <c r="B37" s="29" t="s">
        <v>86</v>
      </c>
      <c r="C37" s="12"/>
      <c r="D37" s="18">
        <v>5.1</v>
      </c>
      <c r="E37" s="15">
        <v>5.0</v>
      </c>
      <c r="F37" s="16">
        <f>WORKDAY(G34, 1)</f>
        <v>46484</v>
      </c>
      <c r="G37" s="17">
        <f t="shared" si="9"/>
        <v>46490</v>
      </c>
      <c r="H37" s="13" t="s">
        <v>12</v>
      </c>
      <c r="I37" s="12" t="s">
        <v>16</v>
      </c>
      <c r="AT37" s="23"/>
    </row>
    <row r="38">
      <c r="A38" s="13" t="s">
        <v>87</v>
      </c>
      <c r="B38" s="29" t="s">
        <v>88</v>
      </c>
      <c r="C38" s="12"/>
      <c r="D38" s="13" t="s">
        <v>83</v>
      </c>
      <c r="E38" s="15">
        <v>3.0</v>
      </c>
      <c r="F38" s="16">
        <f>WORKDAY(G36, 1)</f>
        <v>46505</v>
      </c>
      <c r="G38" s="17">
        <f t="shared" si="9"/>
        <v>46507</v>
      </c>
      <c r="H38" s="13" t="s">
        <v>20</v>
      </c>
      <c r="I38" s="12" t="s">
        <v>16</v>
      </c>
      <c r="AT38" s="23"/>
    </row>
    <row r="39">
      <c r="A39" s="13" t="s">
        <v>89</v>
      </c>
      <c r="B39" s="29" t="s">
        <v>90</v>
      </c>
      <c r="C39" s="12"/>
      <c r="D39" s="13" t="s">
        <v>87</v>
      </c>
      <c r="E39" s="15">
        <v>1.0</v>
      </c>
      <c r="F39" s="16">
        <f t="shared" ref="F39:F40" si="10">WORKDAY(G38, 1)</f>
        <v>46510</v>
      </c>
      <c r="G39" s="17">
        <f t="shared" si="9"/>
        <v>46510</v>
      </c>
      <c r="H39" s="13" t="s">
        <v>20</v>
      </c>
      <c r="I39" s="12" t="s">
        <v>16</v>
      </c>
      <c r="AU39" s="23"/>
    </row>
    <row r="40">
      <c r="A40" s="32">
        <v>46208.0</v>
      </c>
      <c r="B40" s="36" t="s">
        <v>91</v>
      </c>
      <c r="C40" s="12"/>
      <c r="D40" s="32">
        <v>46027.0</v>
      </c>
      <c r="E40" s="22">
        <v>1.0</v>
      </c>
      <c r="F40" s="16">
        <f t="shared" si="10"/>
        <v>46511</v>
      </c>
      <c r="G40" s="17">
        <f t="shared" si="9"/>
        <v>46511</v>
      </c>
      <c r="H40" s="18" t="s">
        <v>92</v>
      </c>
      <c r="I40" s="34" t="s">
        <v>16</v>
      </c>
      <c r="AV40" s="23"/>
      <c r="AW40" s="23"/>
    </row>
    <row r="41">
      <c r="A41" s="32">
        <v>46239.0</v>
      </c>
      <c r="B41" s="36" t="s">
        <v>93</v>
      </c>
      <c r="C41" s="12"/>
      <c r="D41" s="32">
        <v>46027.0</v>
      </c>
      <c r="E41" s="22">
        <v>3.0</v>
      </c>
      <c r="F41" s="16">
        <v>46237.0</v>
      </c>
      <c r="G41" s="17">
        <f t="shared" si="9"/>
        <v>46239</v>
      </c>
      <c r="H41" s="18" t="s">
        <v>92</v>
      </c>
      <c r="I41" s="34" t="s">
        <v>16</v>
      </c>
      <c r="J41" s="23"/>
      <c r="K41" s="23"/>
      <c r="L41" s="23"/>
    </row>
    <row r="42">
      <c r="A42" s="32">
        <v>46270.0</v>
      </c>
      <c r="B42" s="36" t="s">
        <v>94</v>
      </c>
      <c r="C42" s="12"/>
      <c r="D42" s="32">
        <v>46147.0</v>
      </c>
      <c r="E42" s="22">
        <v>1.0</v>
      </c>
      <c r="F42" s="16">
        <f>WORKDAY(G39, 1)</f>
        <v>46511</v>
      </c>
      <c r="G42" s="17">
        <f t="shared" si="9"/>
        <v>46511</v>
      </c>
      <c r="H42" s="18" t="s">
        <v>92</v>
      </c>
      <c r="I42" s="34" t="s">
        <v>16</v>
      </c>
      <c r="AW42" s="23"/>
    </row>
    <row r="43">
      <c r="A43" s="32">
        <v>46300.0</v>
      </c>
      <c r="B43" s="12" t="s">
        <v>95</v>
      </c>
      <c r="C43" s="12"/>
      <c r="D43" s="13" t="s">
        <v>89</v>
      </c>
      <c r="E43" s="27">
        <v>1.0</v>
      </c>
      <c r="F43" s="16">
        <f>WORKDAY(G42, 1)</f>
        <v>46512</v>
      </c>
      <c r="G43" s="16">
        <f t="shared" si="9"/>
        <v>46512</v>
      </c>
      <c r="H43" s="13" t="s">
        <v>20</v>
      </c>
      <c r="I43" s="12" t="s">
        <v>30</v>
      </c>
      <c r="AX43" s="28" t="s">
        <v>33</v>
      </c>
    </row>
    <row r="44">
      <c r="A44" s="37"/>
      <c r="B44" s="37"/>
      <c r="C44" s="37"/>
      <c r="D44" s="37"/>
      <c r="E44" s="37"/>
      <c r="F44" s="37"/>
      <c r="G44" s="37"/>
      <c r="H44" s="37"/>
      <c r="I44" s="37"/>
    </row>
    <row r="45">
      <c r="A45" s="37"/>
      <c r="B45" s="38" t="s">
        <v>96</v>
      </c>
      <c r="C45" s="37"/>
      <c r="D45" s="37"/>
      <c r="E45" s="37"/>
      <c r="F45" s="37"/>
      <c r="G45" s="37"/>
      <c r="H45" s="37"/>
      <c r="I45" s="37"/>
    </row>
    <row r="46">
      <c r="A46" s="37"/>
      <c r="B46" s="24"/>
      <c r="C46" s="39" t="s">
        <v>2</v>
      </c>
      <c r="D46" s="19"/>
      <c r="E46" s="39" t="s">
        <v>97</v>
      </c>
      <c r="F46" s="10"/>
      <c r="G46" s="39" t="s">
        <v>98</v>
      </c>
      <c r="H46" s="40"/>
      <c r="I46" s="39" t="s">
        <v>99</v>
      </c>
    </row>
    <row r="47">
      <c r="A47" s="37"/>
      <c r="B47" s="37"/>
      <c r="C47" s="37"/>
      <c r="D47" s="37"/>
      <c r="E47" s="37"/>
      <c r="F47" s="37"/>
      <c r="G47" s="37"/>
      <c r="H47" s="37"/>
      <c r="I47" s="37"/>
    </row>
    <row r="48">
      <c r="A48" s="37"/>
      <c r="B48" s="37"/>
      <c r="C48" s="37"/>
      <c r="D48" s="37"/>
      <c r="E48" s="37"/>
      <c r="F48" s="37"/>
      <c r="G48" s="37"/>
      <c r="H48" s="37"/>
      <c r="I48" s="37"/>
    </row>
    <row r="49">
      <c r="A49" s="37"/>
      <c r="B49" s="37"/>
      <c r="C49" s="37"/>
      <c r="D49" s="37"/>
      <c r="E49" s="37"/>
      <c r="F49" s="37"/>
      <c r="G49" s="37"/>
      <c r="H49" s="37"/>
      <c r="I49" s="37"/>
    </row>
    <row r="50">
      <c r="A50" s="37"/>
      <c r="B50" s="37"/>
      <c r="C50" s="37"/>
      <c r="D50" s="37"/>
      <c r="E50" s="37"/>
      <c r="F50" s="37"/>
      <c r="G50" s="37"/>
      <c r="H50" s="37"/>
      <c r="I50" s="37"/>
    </row>
    <row r="51">
      <c r="A51" s="37"/>
      <c r="B51" s="37"/>
      <c r="C51" s="37"/>
      <c r="D51" s="37"/>
      <c r="E51" s="37"/>
      <c r="F51" s="37"/>
      <c r="G51" s="37"/>
      <c r="H51" s="37"/>
      <c r="I51" s="37"/>
    </row>
    <row r="52">
      <c r="A52" s="37"/>
      <c r="B52" s="37"/>
      <c r="C52" s="37"/>
      <c r="D52" s="37"/>
      <c r="E52" s="37"/>
      <c r="F52" s="37"/>
      <c r="G52" s="37"/>
      <c r="H52" s="37"/>
      <c r="I52" s="37"/>
    </row>
    <row r="53">
      <c r="A53" s="37"/>
      <c r="B53" s="37"/>
      <c r="C53" s="37"/>
      <c r="D53" s="37"/>
      <c r="E53" s="37"/>
      <c r="F53" s="37"/>
      <c r="G53" s="37"/>
      <c r="H53" s="37"/>
      <c r="I53" s="37"/>
    </row>
    <row r="54">
      <c r="A54" s="37"/>
      <c r="B54" s="37"/>
      <c r="C54" s="37"/>
      <c r="D54" s="37"/>
      <c r="E54" s="37"/>
      <c r="F54" s="37"/>
      <c r="G54" s="37"/>
      <c r="H54" s="37"/>
      <c r="I54" s="37"/>
    </row>
    <row r="55">
      <c r="A55" s="37"/>
      <c r="B55" s="37"/>
      <c r="C55" s="37"/>
      <c r="D55" s="37"/>
      <c r="E55" s="37"/>
      <c r="F55" s="37"/>
      <c r="G55" s="37"/>
      <c r="H55" s="37"/>
      <c r="I55" s="37"/>
    </row>
    <row r="56">
      <c r="A56" s="37"/>
      <c r="B56" s="37"/>
      <c r="C56" s="37"/>
      <c r="D56" s="37"/>
      <c r="E56" s="37"/>
      <c r="F56" s="37"/>
      <c r="G56" s="37"/>
      <c r="H56" s="37"/>
      <c r="I56" s="37"/>
    </row>
    <row r="57">
      <c r="A57" s="37"/>
      <c r="B57" s="37"/>
      <c r="C57" s="37"/>
      <c r="D57" s="37"/>
      <c r="E57" s="37"/>
      <c r="F57" s="37"/>
      <c r="G57" s="37"/>
      <c r="H57" s="37"/>
      <c r="I57" s="37"/>
    </row>
    <row r="58">
      <c r="A58" s="37"/>
      <c r="B58" s="37"/>
      <c r="C58" s="37"/>
      <c r="D58" s="37"/>
      <c r="E58" s="37"/>
      <c r="F58" s="37"/>
      <c r="G58" s="37"/>
      <c r="H58" s="37"/>
      <c r="I58" s="37"/>
    </row>
    <row r="59">
      <c r="A59" s="37"/>
      <c r="B59" s="37"/>
      <c r="C59" s="37"/>
      <c r="D59" s="37"/>
      <c r="E59" s="37"/>
      <c r="F59" s="37"/>
      <c r="G59" s="37"/>
      <c r="H59" s="37"/>
      <c r="I59" s="37"/>
    </row>
    <row r="60">
      <c r="A60" s="37"/>
      <c r="B60" s="37"/>
      <c r="C60" s="37"/>
      <c r="D60" s="37"/>
      <c r="E60" s="37"/>
      <c r="F60" s="37"/>
      <c r="G60" s="37"/>
      <c r="H60" s="37"/>
      <c r="I60" s="37"/>
    </row>
    <row r="61">
      <c r="A61" s="37"/>
      <c r="B61" s="37"/>
      <c r="C61" s="37"/>
      <c r="D61" s="37"/>
      <c r="E61" s="37"/>
      <c r="F61" s="37"/>
      <c r="G61" s="37"/>
      <c r="H61" s="37"/>
      <c r="I61" s="37"/>
    </row>
    <row r="62">
      <c r="A62" s="37"/>
      <c r="B62" s="37"/>
      <c r="C62" s="37"/>
      <c r="D62" s="37"/>
      <c r="E62" s="37"/>
      <c r="F62" s="37"/>
      <c r="G62" s="37"/>
      <c r="H62" s="37"/>
      <c r="I62" s="37"/>
    </row>
    <row r="63">
      <c r="A63" s="37"/>
      <c r="B63" s="37"/>
      <c r="C63" s="37"/>
      <c r="D63" s="37"/>
      <c r="E63" s="37"/>
      <c r="F63" s="37"/>
      <c r="G63" s="37"/>
      <c r="H63" s="37"/>
      <c r="I63" s="37"/>
    </row>
    <row r="64">
      <c r="A64" s="37"/>
      <c r="B64" s="37"/>
      <c r="C64" s="37"/>
      <c r="D64" s="37"/>
      <c r="E64" s="37"/>
      <c r="F64" s="37"/>
      <c r="G64" s="37"/>
      <c r="H64" s="37"/>
      <c r="I64" s="37"/>
    </row>
    <row r="65">
      <c r="A65" s="37"/>
      <c r="B65" s="37"/>
      <c r="C65" s="37"/>
      <c r="D65" s="37"/>
      <c r="E65" s="37"/>
      <c r="F65" s="37"/>
      <c r="G65" s="37"/>
      <c r="H65" s="37"/>
      <c r="I65" s="37"/>
    </row>
    <row r="66">
      <c r="A66" s="37"/>
      <c r="B66" s="37"/>
      <c r="C66" s="37"/>
      <c r="D66" s="37"/>
      <c r="E66" s="37"/>
      <c r="F66" s="37"/>
      <c r="G66" s="37"/>
      <c r="H66" s="37"/>
      <c r="I66" s="37"/>
    </row>
    <row r="67">
      <c r="A67" s="37"/>
      <c r="B67" s="37"/>
      <c r="C67" s="37"/>
      <c r="D67" s="37"/>
      <c r="E67" s="37"/>
      <c r="F67" s="37"/>
      <c r="G67" s="37"/>
      <c r="H67" s="37"/>
      <c r="I67" s="37"/>
    </row>
    <row r="68">
      <c r="A68" s="37"/>
      <c r="B68" s="37"/>
      <c r="C68" s="37"/>
      <c r="D68" s="37"/>
      <c r="E68" s="37"/>
      <c r="F68" s="37"/>
      <c r="G68" s="37"/>
      <c r="H68" s="37"/>
      <c r="I68" s="37"/>
    </row>
    <row r="69">
      <c r="A69" s="37"/>
      <c r="B69" s="37"/>
      <c r="C69" s="37"/>
      <c r="D69" s="37"/>
      <c r="E69" s="37"/>
      <c r="F69" s="37"/>
      <c r="G69" s="37"/>
      <c r="H69" s="37"/>
      <c r="I69" s="37"/>
    </row>
    <row r="70">
      <c r="A70" s="37"/>
      <c r="B70" s="37"/>
      <c r="C70" s="37"/>
      <c r="D70" s="37"/>
      <c r="E70" s="37"/>
      <c r="F70" s="37"/>
      <c r="G70" s="37"/>
      <c r="H70" s="37"/>
      <c r="I70" s="37"/>
    </row>
    <row r="71">
      <c r="A71" s="37"/>
      <c r="B71" s="37"/>
      <c r="C71" s="37"/>
      <c r="D71" s="37"/>
      <c r="E71" s="37"/>
      <c r="F71" s="37"/>
      <c r="G71" s="37"/>
      <c r="H71" s="37"/>
      <c r="I71" s="37"/>
    </row>
    <row r="72">
      <c r="A72" s="37"/>
      <c r="B72" s="37"/>
      <c r="C72" s="37"/>
      <c r="D72" s="37"/>
      <c r="E72" s="37"/>
      <c r="F72" s="37"/>
      <c r="G72" s="37"/>
      <c r="H72" s="37"/>
      <c r="I72" s="37"/>
    </row>
    <row r="73">
      <c r="A73" s="37"/>
      <c r="B73" s="37"/>
      <c r="C73" s="37"/>
      <c r="D73" s="37"/>
      <c r="E73" s="37"/>
      <c r="F73" s="37"/>
      <c r="G73" s="37"/>
      <c r="H73" s="37"/>
      <c r="I73" s="37"/>
    </row>
    <row r="74">
      <c r="A74" s="37"/>
      <c r="B74" s="37"/>
      <c r="C74" s="37"/>
      <c r="D74" s="37"/>
      <c r="E74" s="37"/>
      <c r="F74" s="37"/>
      <c r="G74" s="37"/>
      <c r="H74" s="37"/>
      <c r="I74" s="37"/>
    </row>
    <row r="75">
      <c r="A75" s="37"/>
      <c r="B75" s="37"/>
      <c r="C75" s="37"/>
      <c r="D75" s="37"/>
      <c r="E75" s="37"/>
      <c r="F75" s="37"/>
      <c r="G75" s="37"/>
      <c r="H75" s="37"/>
      <c r="I75" s="37"/>
    </row>
    <row r="76">
      <c r="A76" s="37"/>
      <c r="B76" s="37"/>
      <c r="C76" s="37"/>
      <c r="D76" s="37"/>
      <c r="E76" s="37"/>
      <c r="F76" s="37"/>
      <c r="G76" s="37"/>
      <c r="H76" s="37"/>
      <c r="I76" s="37"/>
    </row>
    <row r="77">
      <c r="A77" s="37"/>
      <c r="B77" s="37"/>
      <c r="C77" s="37"/>
      <c r="D77" s="37"/>
      <c r="E77" s="37"/>
      <c r="F77" s="37"/>
      <c r="G77" s="37"/>
      <c r="H77" s="37"/>
      <c r="I77" s="37"/>
    </row>
    <row r="78">
      <c r="A78" s="37"/>
      <c r="B78" s="37"/>
      <c r="C78" s="37"/>
      <c r="D78" s="37"/>
      <c r="E78" s="37"/>
      <c r="F78" s="37"/>
      <c r="G78" s="37"/>
      <c r="H78" s="37"/>
      <c r="I78" s="37"/>
    </row>
    <row r="79">
      <c r="A79" s="37"/>
      <c r="B79" s="37"/>
      <c r="C79" s="37"/>
      <c r="D79" s="37"/>
      <c r="E79" s="37"/>
      <c r="F79" s="37"/>
      <c r="G79" s="37"/>
      <c r="H79" s="37"/>
      <c r="I79" s="37"/>
    </row>
    <row r="80">
      <c r="A80" s="37"/>
      <c r="B80" s="37"/>
      <c r="C80" s="37"/>
      <c r="D80" s="37"/>
      <c r="E80" s="37"/>
      <c r="F80" s="37"/>
      <c r="G80" s="37"/>
      <c r="H80" s="37"/>
      <c r="I80" s="37"/>
    </row>
    <row r="81">
      <c r="A81" s="37"/>
      <c r="B81" s="37"/>
      <c r="C81" s="37"/>
      <c r="D81" s="37"/>
      <c r="E81" s="37"/>
      <c r="F81" s="37"/>
      <c r="G81" s="37"/>
      <c r="H81" s="37"/>
      <c r="I81" s="37"/>
    </row>
    <row r="82">
      <c r="A82" s="37"/>
      <c r="B82" s="37"/>
      <c r="C82" s="37"/>
      <c r="D82" s="37"/>
      <c r="E82" s="37"/>
      <c r="F82" s="37"/>
      <c r="G82" s="37"/>
      <c r="H82" s="37"/>
      <c r="I82" s="37"/>
    </row>
    <row r="83">
      <c r="A83" s="37"/>
      <c r="B83" s="37"/>
      <c r="C83" s="37"/>
      <c r="D83" s="37"/>
      <c r="E83" s="37"/>
      <c r="F83" s="37"/>
      <c r="G83" s="37"/>
      <c r="H83" s="37"/>
      <c r="I83" s="37"/>
    </row>
    <row r="84">
      <c r="A84" s="37"/>
      <c r="B84" s="37"/>
      <c r="C84" s="37"/>
      <c r="D84" s="37"/>
      <c r="E84" s="37"/>
      <c r="F84" s="37"/>
      <c r="G84" s="37"/>
      <c r="H84" s="37"/>
      <c r="I84" s="37"/>
    </row>
    <row r="85">
      <c r="A85" s="37"/>
      <c r="B85" s="37"/>
      <c r="C85" s="37"/>
      <c r="D85" s="37"/>
      <c r="E85" s="37"/>
      <c r="F85" s="37"/>
      <c r="G85" s="37"/>
      <c r="H85" s="37"/>
      <c r="I85" s="37"/>
    </row>
    <row r="86">
      <c r="A86" s="37"/>
      <c r="B86" s="37"/>
      <c r="C86" s="37"/>
      <c r="D86" s="37"/>
      <c r="E86" s="37"/>
      <c r="F86" s="37"/>
      <c r="G86" s="37"/>
      <c r="H86" s="37"/>
      <c r="I86" s="37"/>
    </row>
    <row r="87">
      <c r="A87" s="37"/>
      <c r="B87" s="37"/>
      <c r="C87" s="37"/>
      <c r="D87" s="37"/>
      <c r="E87" s="37"/>
      <c r="F87" s="37"/>
      <c r="G87" s="37"/>
      <c r="H87" s="37"/>
      <c r="I87" s="37"/>
    </row>
    <row r="88">
      <c r="A88" s="37"/>
      <c r="B88" s="37"/>
      <c r="C88" s="37"/>
      <c r="D88" s="37"/>
      <c r="E88" s="37"/>
      <c r="F88" s="37"/>
      <c r="G88" s="37"/>
      <c r="H88" s="37"/>
      <c r="I88" s="37"/>
    </row>
    <row r="89">
      <c r="A89" s="37"/>
      <c r="B89" s="37"/>
      <c r="C89" s="37"/>
      <c r="D89" s="37"/>
      <c r="E89" s="37"/>
      <c r="F89" s="37"/>
      <c r="G89" s="37"/>
      <c r="H89" s="37"/>
      <c r="I89" s="37"/>
    </row>
    <row r="90">
      <c r="A90" s="37"/>
      <c r="B90" s="37"/>
      <c r="C90" s="37"/>
      <c r="D90" s="37"/>
      <c r="E90" s="37"/>
      <c r="F90" s="37"/>
      <c r="G90" s="37"/>
      <c r="H90" s="37"/>
      <c r="I90" s="37"/>
    </row>
    <row r="91">
      <c r="A91" s="37"/>
      <c r="B91" s="37"/>
      <c r="C91" s="37"/>
      <c r="D91" s="37"/>
      <c r="E91" s="37"/>
      <c r="F91" s="37"/>
      <c r="G91" s="37"/>
      <c r="H91" s="37"/>
      <c r="I91" s="37"/>
    </row>
    <row r="92">
      <c r="A92" s="37"/>
      <c r="B92" s="37"/>
      <c r="C92" s="37"/>
      <c r="D92" s="37"/>
      <c r="E92" s="37"/>
      <c r="F92" s="37"/>
      <c r="G92" s="37"/>
      <c r="H92" s="37"/>
      <c r="I92" s="37"/>
    </row>
    <row r="93">
      <c r="A93" s="37"/>
      <c r="B93" s="37"/>
      <c r="C93" s="37"/>
      <c r="D93" s="37"/>
      <c r="E93" s="37"/>
      <c r="F93" s="37"/>
      <c r="G93" s="37"/>
      <c r="H93" s="37"/>
      <c r="I93" s="37"/>
    </row>
    <row r="94">
      <c r="A94" s="37"/>
      <c r="B94" s="37"/>
      <c r="C94" s="37"/>
      <c r="D94" s="37"/>
      <c r="E94" s="37"/>
      <c r="F94" s="37"/>
      <c r="G94" s="37"/>
      <c r="H94" s="37"/>
      <c r="I94" s="37"/>
    </row>
    <row r="95">
      <c r="A95" s="37"/>
      <c r="B95" s="37"/>
      <c r="C95" s="37"/>
      <c r="D95" s="37"/>
      <c r="E95" s="37"/>
      <c r="F95" s="37"/>
      <c r="G95" s="37"/>
      <c r="H95" s="37"/>
      <c r="I95" s="37"/>
    </row>
    <row r="96">
      <c r="A96" s="37"/>
      <c r="B96" s="37"/>
      <c r="C96" s="37"/>
      <c r="D96" s="37"/>
      <c r="E96" s="37"/>
      <c r="F96" s="37"/>
      <c r="G96" s="37"/>
      <c r="H96" s="37"/>
      <c r="I96" s="37"/>
    </row>
    <row r="97">
      <c r="A97" s="37"/>
      <c r="B97" s="37"/>
      <c r="C97" s="37"/>
      <c r="D97" s="37"/>
      <c r="E97" s="37"/>
      <c r="F97" s="37"/>
      <c r="G97" s="37"/>
      <c r="H97" s="37"/>
      <c r="I97" s="37"/>
    </row>
    <row r="98">
      <c r="A98" s="37"/>
      <c r="B98" s="37"/>
      <c r="C98" s="37"/>
      <c r="D98" s="37"/>
      <c r="E98" s="37"/>
      <c r="F98" s="37"/>
      <c r="G98" s="37"/>
      <c r="H98" s="37"/>
      <c r="I98" s="37"/>
    </row>
    <row r="99">
      <c r="A99" s="37"/>
      <c r="B99" s="37"/>
      <c r="C99" s="37"/>
      <c r="D99" s="37"/>
      <c r="E99" s="37"/>
      <c r="F99" s="37"/>
      <c r="G99" s="37"/>
      <c r="H99" s="37"/>
      <c r="I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</row>
    <row r="1001">
      <c r="A1001" s="37"/>
      <c r="B1001" s="37"/>
      <c r="C1001" s="37"/>
      <c r="D1001" s="37"/>
      <c r="E1001" s="37"/>
      <c r="F1001" s="37"/>
      <c r="G1001" s="37"/>
      <c r="H1001" s="37"/>
      <c r="I1001" s="37"/>
    </row>
    <row r="1002">
      <c r="A1002" s="37"/>
      <c r="B1002" s="37"/>
      <c r="C1002" s="37"/>
      <c r="D1002" s="37"/>
      <c r="E1002" s="37"/>
      <c r="F1002" s="37"/>
      <c r="G1002" s="37"/>
      <c r="H1002" s="37"/>
      <c r="I1002" s="37"/>
    </row>
    <row r="1003">
      <c r="A1003" s="37"/>
      <c r="B1003" s="37"/>
      <c r="C1003" s="37"/>
      <c r="D1003" s="37"/>
      <c r="E1003" s="37"/>
      <c r="F1003" s="37"/>
      <c r="G1003" s="37"/>
      <c r="H1003" s="37"/>
      <c r="I1003" s="37"/>
    </row>
    <row r="1004">
      <c r="A1004" s="37"/>
      <c r="B1004" s="37"/>
      <c r="C1004" s="37"/>
      <c r="D1004" s="37"/>
      <c r="E1004" s="37"/>
      <c r="F1004" s="37"/>
      <c r="G1004" s="37"/>
      <c r="H1004" s="37"/>
      <c r="I1004" s="37"/>
    </row>
    <row r="1005">
      <c r="A1005" s="37"/>
      <c r="B1005" s="37"/>
      <c r="C1005" s="37"/>
      <c r="D1005" s="37"/>
      <c r="E1005" s="37"/>
      <c r="F1005" s="37"/>
      <c r="G1005" s="37"/>
      <c r="H1005" s="37"/>
      <c r="I1005" s="37"/>
    </row>
  </sheetData>
  <mergeCells count="1">
    <mergeCell ref="A1:I1"/>
  </mergeCells>
  <conditionalFormatting sqref="F3 F6">
    <cfRule type="notContainsBlanks" dxfId="0" priority="1">
      <formula>LEN(TRIM(F3))&gt;0</formula>
    </cfRule>
  </conditionalFormatting>
  <drawing r:id="rId1"/>
</worksheet>
</file>